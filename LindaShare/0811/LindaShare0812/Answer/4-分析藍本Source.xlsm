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indaShare\Answer\"/>
    </mc:Choice>
  </mc:AlternateContent>
  <bookViews>
    <workbookView xWindow="11610" yWindow="-15" windowWidth="11445" windowHeight="9585" tabRatio="732" activeTab="5"/>
  </bookViews>
  <sheets>
    <sheet name="盈收預測摘要" sheetId="43" r:id="rId1"/>
    <sheet name="盈收預測" sheetId="37" r:id="rId2"/>
    <sheet name="行銷計劃-台北" sheetId="38" r:id="rId3"/>
    <sheet name="行銷計劃-台中" sheetId="39" r:id="rId4"/>
    <sheet name="行銷計劃-高雄" sheetId="40" r:id="rId5"/>
    <sheet name="行銷計劃-合併" sheetId="41" r:id="rId6"/>
    <sheet name="行銷計劃摘要" sheetId="44" r:id="rId7"/>
  </sheets>
  <definedNames>
    <definedName name="_Fill" localSheetId="3" hidden="1">#REF!</definedName>
    <definedName name="_Fill" localSheetId="5" hidden="1">#REF!</definedName>
    <definedName name="_Fill" localSheetId="4" hidden="1">#REF!</definedName>
    <definedName name="_Fill" hidden="1">#REF!</definedName>
    <definedName name="_Key1" localSheetId="3" hidden="1">#REF!</definedName>
    <definedName name="_Key1" localSheetId="5" hidden="1">#REF!</definedName>
    <definedName name="_Key1" localSheetId="4" hidden="1">#REF!</definedName>
    <definedName name="_Key1" hidden="1">#REF!</definedName>
    <definedName name="_Key2" localSheetId="3" hidden="1">#REF!</definedName>
    <definedName name="_Key2" localSheetId="5" hidden="1">#REF!</definedName>
    <definedName name="_Key2" localSheetId="4" hidden="1">#REF!</definedName>
    <definedName name="_Key2" hidden="1">#REF!</definedName>
    <definedName name="_Order1" hidden="1">0</definedName>
    <definedName name="_Order2" hidden="1">0</definedName>
    <definedName name="_Sort" localSheetId="3" hidden="1">#REF!</definedName>
    <definedName name="_Sort" localSheetId="5" hidden="1">#REF!</definedName>
    <definedName name="_Sort" localSheetId="4" hidden="1">#REF!</definedName>
    <definedName name="_Sort" hidden="1">#REF!</definedName>
    <definedName name="AA" localSheetId="3" hidden="1">#REF!</definedName>
    <definedName name="AA" localSheetId="5" hidden="1">#REF!</definedName>
    <definedName name="AA" localSheetId="4" hidden="1">#REF!</definedName>
    <definedName name="AA" hidden="1">#REF!</definedName>
    <definedName name="月銷售量" localSheetId="3">'行銷計劃-台中'!$D$3</definedName>
    <definedName name="月銷售量" localSheetId="2">'行銷計劃-台北'!$D$3</definedName>
    <definedName name="月銷售量" localSheetId="4">'行銷計劃-高雄'!$D$3</definedName>
    <definedName name="月銷售量">'行銷計劃-合併'!$D$3</definedName>
    <definedName name="包裝_每雙" localSheetId="3">'行銷計劃-台中'!$H$3</definedName>
    <definedName name="包裝_每雙" localSheetId="2">'行銷計劃-台北'!$H$3</definedName>
    <definedName name="包裝_每雙" localSheetId="4">'行銷計劃-高雄'!$H$3</definedName>
    <definedName name="包裝_每雙">'行銷計劃-合併'!$H$3</definedName>
    <definedName name="平均折扣" localSheetId="3">'行銷計劃-台中'!$D$4</definedName>
    <definedName name="平均折扣" localSheetId="2">'行銷計劃-台北'!$D$4</definedName>
    <definedName name="平均折扣" localSheetId="4">'行銷計劃-高雄'!$D$4</definedName>
    <definedName name="平均折扣">'行銷計劃-合併'!$D$4</definedName>
    <definedName name="收入">盈收預測!$L$6</definedName>
    <definedName name="材料">盈收預測!$L$7</definedName>
    <definedName name="材料_每雙" localSheetId="3">'行銷計劃-台中'!$H$2</definedName>
    <definedName name="材料_每雙" localSheetId="2">'行銷計劃-台北'!$H$2</definedName>
    <definedName name="材料_每雙" localSheetId="4">'行銷計劃-高雄'!$H$2</definedName>
    <definedName name="材料_每雙">'行銷計劃-合併'!$H$2</definedName>
    <definedName name="每雙定價" localSheetId="3">'行銷計劃-台中'!$D$2</definedName>
    <definedName name="每雙定價" localSheetId="2">'行銷計劃-台北'!$D$2</definedName>
    <definedName name="每雙定價" localSheetId="4">'行銷計劃-高雄'!$D$2</definedName>
    <definedName name="每雙定價">'行銷計劃-合併'!$D$2</definedName>
    <definedName name="其它">盈收預測!$L$11</definedName>
    <definedName name="其它雜支費用_月" localSheetId="3">'行銷計劃-台中'!$H$9</definedName>
    <definedName name="其它雜支費用_月" localSheetId="2">'行銷計劃-台北'!$H$9</definedName>
    <definedName name="其它雜支費用_月" localSheetId="4">'行銷計劃-高雄'!$H$9</definedName>
    <definedName name="其它雜支費用_月">'行銷計劃-合併'!$H$9</definedName>
    <definedName name="固定成本小計">'行銷計劃-合併'!$H$4</definedName>
    <definedName name="研發">盈收預測!$L$10</definedName>
    <definedName name="第五年收入">盈收預測!$I$3</definedName>
    <definedName name="第五年稅盈前餘">盈收預測!$I$12</definedName>
    <definedName name="第五年費用">盈收預測!$I$10</definedName>
    <definedName name="稅前盈收">'行銷計劃-合併'!$D$12</definedName>
    <definedName name="費用小計">'行銷計劃-合併'!$H$10</definedName>
    <definedName name="管銷">盈收預測!$L$8</definedName>
    <definedName name="管銷費用_月" localSheetId="3">'行銷計劃-台中'!$H$6</definedName>
    <definedName name="管銷費用_月" localSheetId="2">'行銷計劃-台北'!$H$6</definedName>
    <definedName name="管銷費用_月" localSheetId="4">'行銷計劃-高雄'!$H$6</definedName>
    <definedName name="管銷費用_月">'行銷計劃-合併'!$H$6</definedName>
    <definedName name="廣告費用_月" localSheetId="3">'行銷計劃-台中'!$H$8</definedName>
    <definedName name="廣告費用_月" localSheetId="2">'行銷計劃-台北'!$H$8</definedName>
    <definedName name="廣告費用_月" localSheetId="4">'行銷計劃-高雄'!$H$8</definedName>
    <definedName name="廣告費用_月">'行銷計劃-合併'!$H$8</definedName>
    <definedName name="營運">盈收預測!$L$9</definedName>
    <definedName name="營運費用_月" localSheetId="3">'行銷計劃-台中'!$H$7</definedName>
    <definedName name="營運費用_月" localSheetId="2">'行銷計劃-台北'!$H$7</definedName>
    <definedName name="營運費用_月" localSheetId="4">'行銷計劃-高雄'!$H$7</definedName>
    <definedName name="營運費用_月">'行銷計劃-合併'!$H$7</definedName>
    <definedName name="總收入">'行銷計劃-合併'!$D$5</definedName>
    <definedName name="總費用">'行銷計劃-合併'!$H$12</definedName>
  </definedNames>
  <calcPr calcId="152511"/>
</workbook>
</file>

<file path=xl/calcChain.xml><?xml version="1.0" encoding="utf-8"?>
<calcChain xmlns="http://schemas.openxmlformats.org/spreadsheetml/2006/main">
  <c r="E5" i="37" l="1"/>
  <c r="F5" i="37" s="1"/>
  <c r="G5" i="37" s="1"/>
  <c r="H5" i="37" s="1"/>
  <c r="I5" i="37" s="1"/>
  <c r="E6" i="37"/>
  <c r="F6" i="37" s="1"/>
  <c r="G6" i="37" s="1"/>
  <c r="H6" i="37" s="1"/>
  <c r="I6" i="37" s="1"/>
  <c r="E7" i="37"/>
  <c r="F7" i="37" s="1"/>
  <c r="G7" i="37" s="1"/>
  <c r="H7" i="37" s="1"/>
  <c r="I7" i="37" s="1"/>
  <c r="E8" i="37"/>
  <c r="F8" i="37" s="1"/>
  <c r="G8" i="37" s="1"/>
  <c r="H8" i="37" s="1"/>
  <c r="I8" i="37" s="1"/>
  <c r="E9" i="37"/>
  <c r="F9" i="37" s="1"/>
  <c r="G9" i="37" s="1"/>
  <c r="H9" i="37" s="1"/>
  <c r="I9" i="37" s="1"/>
  <c r="E3" i="37"/>
  <c r="F3" i="37" s="1"/>
  <c r="G3" i="37" s="1"/>
  <c r="H3" i="37" s="1"/>
  <c r="I3" i="37" s="1"/>
  <c r="E10" i="37" l="1"/>
  <c r="E12" i="37" s="1"/>
  <c r="I10" i="37"/>
  <c r="I12" i="37" s="1"/>
  <c r="H10" i="37"/>
  <c r="H12" i="37" s="1"/>
  <c r="G10" i="37"/>
  <c r="G12" i="37" s="1"/>
  <c r="F10" i="37"/>
  <c r="F12" i="37" s="1"/>
  <c r="H10" i="41"/>
  <c r="D5" i="41"/>
  <c r="H4" i="41"/>
  <c r="H10" i="40"/>
  <c r="D5" i="40"/>
  <c r="H4" i="40"/>
  <c r="H10" i="39"/>
  <c r="D5" i="39"/>
  <c r="H4" i="39"/>
  <c r="H12" i="40" l="1"/>
  <c r="D12" i="40" s="1"/>
  <c r="H12" i="41"/>
  <c r="D12" i="41" s="1"/>
  <c r="H12" i="39"/>
  <c r="D12" i="39" s="1"/>
  <c r="H4" i="38"/>
  <c r="D5" i="38"/>
  <c r="H10" i="38"/>
  <c r="H12" i="38" l="1"/>
  <c r="D12" i="38" s="1"/>
  <c r="D10" i="37"/>
  <c r="D12" i="37" s="1"/>
  <c r="D2" i="37" l="1"/>
  <c r="E2" i="37" s="1"/>
  <c r="F2" i="37" s="1"/>
  <c r="G2" i="37" s="1"/>
  <c r="H2" i="37" s="1"/>
  <c r="I2" i="37" s="1"/>
</calcChain>
</file>

<file path=xl/sharedStrings.xml><?xml version="1.0" encoding="utf-8"?>
<sst xmlns="http://schemas.openxmlformats.org/spreadsheetml/2006/main" count="192" uniqueCount="94">
  <si>
    <t>收入</t>
    <phoneticPr fontId="1" type="noConversion"/>
  </si>
  <si>
    <t>費用</t>
    <phoneticPr fontId="1" type="noConversion"/>
  </si>
  <si>
    <t>材料</t>
  </si>
  <si>
    <t>材料</t>
    <phoneticPr fontId="1" type="noConversion"/>
  </si>
  <si>
    <t>管銷</t>
  </si>
  <si>
    <t>管銷</t>
    <phoneticPr fontId="1" type="noConversion"/>
  </si>
  <si>
    <t>營運</t>
  </si>
  <si>
    <t>營運</t>
    <phoneticPr fontId="1" type="noConversion"/>
  </si>
  <si>
    <t>研發</t>
  </si>
  <si>
    <t>研發</t>
    <phoneticPr fontId="1" type="noConversion"/>
  </si>
  <si>
    <t>其它</t>
  </si>
  <si>
    <t>其它</t>
    <phoneticPr fontId="1" type="noConversion"/>
  </si>
  <si>
    <t>總費用</t>
    <phoneticPr fontId="1" type="noConversion"/>
  </si>
  <si>
    <t>稅前盈餘</t>
    <phoneticPr fontId="1" type="noConversion"/>
  </si>
  <si>
    <t>預估逐年成長率</t>
    <phoneticPr fontId="1" type="noConversion"/>
  </si>
  <si>
    <t>原始資料</t>
    <phoneticPr fontId="1" type="noConversion"/>
  </si>
  <si>
    <t>業務部提案</t>
    <phoneticPr fontId="1" type="noConversion"/>
  </si>
  <si>
    <t>營業部提案</t>
    <phoneticPr fontId="1" type="noConversion"/>
  </si>
  <si>
    <t>委外方案</t>
    <phoneticPr fontId="1" type="noConversion"/>
  </si>
  <si>
    <t>收入</t>
    <phoneticPr fontId="1" type="noConversion"/>
  </si>
  <si>
    <t>每雙定價</t>
  </si>
  <si>
    <t>每雙定價</t>
    <phoneticPr fontId="1" type="noConversion"/>
  </si>
  <si>
    <t>月銷售量</t>
  </si>
  <si>
    <t>月銷售量</t>
    <phoneticPr fontId="1" type="noConversion"/>
  </si>
  <si>
    <t>平均折扣</t>
    <phoneticPr fontId="1" type="noConversion"/>
  </si>
  <si>
    <t>總收入</t>
    <phoneticPr fontId="1" type="noConversion"/>
  </si>
  <si>
    <t>成本費用</t>
    <phoneticPr fontId="1" type="noConversion"/>
  </si>
  <si>
    <t>材料（每雙）</t>
  </si>
  <si>
    <t>材料（每雙）</t>
    <phoneticPr fontId="1" type="noConversion"/>
  </si>
  <si>
    <t>包裝（每雙）</t>
  </si>
  <si>
    <t>管銷費用（月）</t>
  </si>
  <si>
    <t>管銷費用（月）</t>
    <phoneticPr fontId="1" type="noConversion"/>
  </si>
  <si>
    <t>營運費用（月）</t>
  </si>
  <si>
    <t>營運費用（月）</t>
    <phoneticPr fontId="1" type="noConversion"/>
  </si>
  <si>
    <t>廣告費用（月）</t>
  </si>
  <si>
    <t>廣告費用（月）</t>
    <phoneticPr fontId="1" type="noConversion"/>
  </si>
  <si>
    <t>其它雜支費用（月）</t>
  </si>
  <si>
    <t>包裝（每雙）</t>
    <phoneticPr fontId="1" type="noConversion"/>
  </si>
  <si>
    <t>固定成本小計</t>
    <phoneticPr fontId="1" type="noConversion"/>
  </si>
  <si>
    <t>其它雜支費用（月）</t>
    <phoneticPr fontId="1" type="noConversion"/>
  </si>
  <si>
    <t>費用小計</t>
    <phoneticPr fontId="1" type="noConversion"/>
  </si>
  <si>
    <t>總費用</t>
    <phoneticPr fontId="1" type="noConversion"/>
  </si>
  <si>
    <t>稅前盈收</t>
    <phoneticPr fontId="1" type="noConversion"/>
  </si>
  <si>
    <t>（八折）</t>
    <phoneticPr fontId="1" type="noConversion"/>
  </si>
  <si>
    <t>提案一</t>
    <phoneticPr fontId="1" type="noConversion"/>
  </si>
  <si>
    <t>提案二</t>
    <phoneticPr fontId="1" type="noConversion"/>
  </si>
  <si>
    <t>提案三</t>
    <phoneticPr fontId="1" type="noConversion"/>
  </si>
  <si>
    <t>台北</t>
    <phoneticPr fontId="1" type="noConversion"/>
  </si>
  <si>
    <t>台中</t>
    <phoneticPr fontId="1" type="noConversion"/>
  </si>
  <si>
    <t>高雄</t>
    <phoneticPr fontId="1" type="noConversion"/>
  </si>
  <si>
    <t>總費用</t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</si>
  <si>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A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</si>
  <si>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Y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</si>
  <si>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A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</si>
  <si>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B</t>
    </r>
    <phoneticPr fontId="1" type="noConversion"/>
  </si>
  <si>
    <r>
      <rPr>
        <b/>
        <sz val="11"/>
        <color theme="0"/>
        <rFont val="標楷體"/>
        <family val="4"/>
        <charset val="136"/>
      </rPr>
      <t>提案</t>
    </r>
    <r>
      <rPr>
        <b/>
        <sz val="11"/>
        <color theme="0"/>
        <rFont val="Times New Roman"/>
        <family val="1"/>
      </rPr>
      <t>C</t>
    </r>
    <phoneticPr fontId="1" type="noConversion"/>
  </si>
  <si>
    <t>原始資料</t>
    <phoneticPr fontId="1" type="noConversion"/>
  </si>
  <si>
    <t>收入</t>
  </si>
  <si>
    <t>第五年稅盈前餘</t>
  </si>
  <si>
    <t>原始資料</t>
  </si>
  <si>
    <t>建立者 Windows 使用者 於 2014/8/12</t>
  </si>
  <si>
    <t>業務部提案</t>
  </si>
  <si>
    <t>營業部提案</t>
  </si>
  <si>
    <t>委外方案</t>
  </si>
  <si>
    <t>分析藍本摘要</t>
  </si>
  <si>
    <t>變數儲存格:</t>
  </si>
  <si>
    <t>現用值:</t>
  </si>
  <si>
    <t>目標儲存格:</t>
  </si>
  <si>
    <t>備註: 現用值欄位是在建立分析藍本</t>
  </si>
  <si>
    <t>摘要時所使用變數儲存格的值。</t>
  </si>
  <si>
    <t>每組變數儲存格均以灰網顯示。</t>
  </si>
  <si>
    <t>平均折扣</t>
  </si>
  <si>
    <t>材料_每雙</t>
  </si>
  <si>
    <t>包裝_每雙</t>
  </si>
  <si>
    <t>管銷費用_月</t>
  </si>
  <si>
    <t>營運費用_月</t>
  </si>
  <si>
    <t>廣告費用_月</t>
  </si>
  <si>
    <t>其它雜支費用_月</t>
  </si>
  <si>
    <t>總收入</t>
  </si>
  <si>
    <t>總費用</t>
  </si>
  <si>
    <t>稅前盈收</t>
  </si>
  <si>
    <t>建立者 Windows 使用者 於 2012/1/4
修改者 LindaWu 於 2013/8/20
修改者 LindaWu 於 2013/10/26
修改者 LindaWu 於 2013/11/1</t>
  </si>
  <si>
    <t>提案一</t>
  </si>
  <si>
    <t>建立者 Windows 使用者 於 2012/1/4
修改者 LindaWu 於 2013/8/20</t>
  </si>
  <si>
    <t>提案二</t>
  </si>
  <si>
    <t>提案三</t>
  </si>
  <si>
    <t>提案A</t>
  </si>
  <si>
    <t>建立者 Windows 使用者 於 2012/1/4
修改者 Windows 使用者 於 2012/1/4</t>
  </si>
  <si>
    <t>提案B</t>
  </si>
  <si>
    <t>提案C</t>
  </si>
  <si>
    <t>提案AA</t>
  </si>
  <si>
    <t>建立者 Windows 使用者 於 2012/1/4
修改者 Windows 使用者 於 2012/1/4
修改者 LindaWu 於 2013/8/20
修改者 Windows 使用者 於 2014/8/12</t>
  </si>
  <si>
    <t>提案Y</t>
  </si>
  <si>
    <t>建立者 Windows 使用者 於 2012/1/4
修改者 Windows 使用者 於 2012/1/4
修改者 LindaWu 於 2013/8/20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</si>
</sst>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76" formatCode="General_)"/>
    <numFmt numFmtId="177" formatCode="_(* #,##0.00_);_(* \(#,##0.00\);_(* &quot;-&quot;??_);_(@_)"/>
    <numFmt numFmtId="178" formatCode="_(* #,##0_);_(* \(#,##0\);_(* &quot;-&quot;_);_(@_)"/>
    <numFmt numFmtId="179" formatCode="&quot;$&quot;#,##0.00_);[Red]\(&quot;$&quot;#,##0.00\)"/>
    <numFmt numFmtId="180" formatCode="#,##0_ "/>
    <numFmt numFmtId="181" formatCode="General&quot; 年&quot;"/>
    <numFmt numFmtId="182" formatCode="General&quot;（去年）&quot;"/>
    <numFmt numFmtId="183" formatCode="0.0%"/>
    <numFmt numFmtId="184" formatCode="#,##0_);[Red]\(#,##0\)"/>
    <numFmt numFmtId="185" formatCode="[Blue]#,##0_);[Red]\(#,##0\)"/>
  </numFmts>
  <fonts count="38" x14ac:knownFonts="1">
    <font>
      <sz val="12"/>
      <color theme="1"/>
      <name val="標楷體"/>
      <family val="2"/>
      <charset val="136"/>
    </font>
    <font>
      <sz val="9"/>
      <name val="標楷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name val="Courier"/>
      <family val="3"/>
    </font>
    <font>
      <sz val="12"/>
      <name val="Times New Roman"/>
      <family val="1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0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b/>
      <sz val="11"/>
      <color theme="0"/>
      <name val="標楷體"/>
      <family val="4"/>
      <charset val="136"/>
    </font>
    <font>
      <sz val="8"/>
      <name val="Helv"/>
      <family val="2"/>
    </font>
    <font>
      <sz val="10"/>
      <name val="MS Sans Serif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Helv"/>
      <family val="2"/>
    </font>
    <font>
      <b/>
      <sz val="8"/>
      <name val="Helv"/>
      <family val="2"/>
    </font>
    <font>
      <b/>
      <sz val="8"/>
      <color indexed="9"/>
      <name val="Arial"/>
      <family val="2"/>
    </font>
    <font>
      <b/>
      <sz val="8"/>
      <color indexed="9"/>
      <name val="Helv"/>
      <family val="2"/>
    </font>
    <font>
      <sz val="12"/>
      <color theme="1"/>
      <name val="標楷體"/>
      <family val="2"/>
      <charset val="136"/>
    </font>
    <font>
      <sz val="11"/>
      <color theme="1"/>
      <name val="標楷體"/>
      <family val="2"/>
      <charset val="136"/>
    </font>
    <font>
      <sz val="11"/>
      <color theme="1"/>
      <name val="Times New Roman"/>
      <family val="1"/>
    </font>
    <font>
      <b/>
      <sz val="10"/>
      <color rgb="FF000080"/>
      <name val="標楷體"/>
      <family val="4"/>
      <charset val="136"/>
    </font>
    <font>
      <sz val="11"/>
      <color theme="1"/>
      <name val="Arial Black"/>
      <family val="2"/>
    </font>
    <font>
      <b/>
      <sz val="11"/>
      <color theme="1"/>
      <name val="Times New Roman"/>
      <family val="1"/>
    </font>
    <font>
      <b/>
      <sz val="11"/>
      <color theme="1"/>
      <name val="標楷體"/>
      <family val="2"/>
      <charset val="136"/>
    </font>
    <font>
      <b/>
      <sz val="11"/>
      <color theme="1"/>
      <name val="標楷體"/>
      <family val="4"/>
      <charset val="136"/>
    </font>
    <font>
      <b/>
      <sz val="11"/>
      <color theme="0"/>
      <name val="Times New Roman"/>
      <family val="1"/>
    </font>
    <font>
      <b/>
      <i/>
      <sz val="11"/>
      <color rgb="FF0000FF"/>
      <name val="Times New Roman"/>
      <family val="1"/>
    </font>
    <font>
      <b/>
      <sz val="12"/>
      <color indexed="9"/>
      <name val="標楷體"/>
      <family val="2"/>
      <charset val="136"/>
    </font>
    <font>
      <b/>
      <sz val="12"/>
      <color indexed="9"/>
      <name val="標楷體"/>
      <family val="4"/>
      <charset val="136"/>
    </font>
    <font>
      <b/>
      <sz val="12"/>
      <color indexed="8"/>
      <name val="標楷體"/>
      <family val="2"/>
      <charset val="136"/>
    </font>
    <font>
      <b/>
      <sz val="12"/>
      <color indexed="18"/>
      <name val="標楷體"/>
      <family val="2"/>
      <charset val="136"/>
    </font>
    <font>
      <b/>
      <sz val="12"/>
      <color indexed="18"/>
      <name val="標楷體"/>
      <family val="4"/>
      <charset val="136"/>
    </font>
    <font>
      <sz val="12"/>
      <color indexed="9"/>
      <name val="標楷體"/>
      <family val="2"/>
      <charset val="136"/>
    </font>
    <font>
      <sz val="10"/>
      <color theme="1"/>
      <name val="標楷體"/>
      <family val="4"/>
      <charset val="136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lightGray">
        <fgColor indexed="22"/>
      </patternFill>
    </fill>
    <fill>
      <patternFill patternType="solid">
        <fgColor indexed="14"/>
      </patternFill>
    </fill>
    <fill>
      <patternFill patternType="solid">
        <fgColor indexed="15"/>
      </patternFill>
    </fill>
    <fill>
      <patternFill patternType="solid">
        <fgColor indexed="11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13"/>
      </patternFill>
    </fill>
    <fill>
      <patternFill patternType="solid">
        <fgColor rgb="FF0000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176" fontId="3" fillId="0" borderId="0"/>
    <xf numFmtId="177" fontId="4" fillId="0" borderId="0" applyFont="0" applyFill="0" applyBorder="0" applyAlignment="0" applyProtection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0" fontId="7" fillId="0" borderId="0"/>
    <xf numFmtId="0" fontId="8" fillId="0" borderId="0" applyNumberFormat="0" applyFill="0" applyBorder="0" applyAlignment="0" applyProtection="0"/>
    <xf numFmtId="0" fontId="9" fillId="0" borderId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0" fontId="6" fillId="0" borderId="0"/>
    <xf numFmtId="0" fontId="1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1" fillId="2" borderId="1">
      <alignment horizontal="center" vertical="center" wrapText="1"/>
    </xf>
    <xf numFmtId="0" fontId="4" fillId="0" borderId="0"/>
    <xf numFmtId="178" fontId="4" fillId="0" borderId="0" applyFont="0" applyFill="0" applyBorder="0" applyAlignment="0" applyProtection="0"/>
    <xf numFmtId="0" fontId="11" fillId="2" borderId="2">
      <alignment horizontal="center" vertical="center"/>
    </xf>
    <xf numFmtId="0" fontId="11" fillId="2" borderId="2">
      <alignment horizontal="center" vertical="center"/>
    </xf>
    <xf numFmtId="0" fontId="12" fillId="3" borderId="0"/>
    <xf numFmtId="0" fontId="10" fillId="0" borderId="0" applyFont="0" applyFill="0" applyBorder="0" applyAlignment="0" applyProtection="0"/>
    <xf numFmtId="40" fontId="13" fillId="0" borderId="0" applyFont="0" applyFill="0" applyBorder="0" applyAlignment="0" applyProtection="0"/>
    <xf numFmtId="0" fontId="10" fillId="0" borderId="0" applyFont="0" applyFill="0" applyBorder="0" applyAlignment="0" applyProtection="0"/>
    <xf numFmtId="179" fontId="13" fillId="0" borderId="0" applyFont="0" applyFill="0" applyBorder="0" applyAlignment="0" applyProtection="0"/>
    <xf numFmtId="0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" fillId="4" borderId="3"/>
    <xf numFmtId="0" fontId="13" fillId="0" borderId="0"/>
    <xf numFmtId="0" fontId="12" fillId="5" borderId="4" applyBorder="0" applyProtection="0"/>
    <xf numFmtId="0" fontId="17" fillId="0" borderId="0" applyFont="0" applyFill="0" applyBorder="0" applyAlignment="0" applyProtection="0"/>
    <xf numFmtId="0" fontId="18" fillId="6" borderId="4"/>
    <xf numFmtId="0" fontId="19" fillId="7" borderId="4"/>
    <xf numFmtId="0" fontId="20" fillId="8" borderId="5" applyBorder="0"/>
    <xf numFmtId="0" fontId="12" fillId="9" borderId="4"/>
    <xf numFmtId="0" fontId="14" fillId="0" borderId="6" applyNumberFormat="0" applyFont="0" applyFill="0" applyAlignment="0" applyProtection="0"/>
    <xf numFmtId="43" fontId="6" fillId="0" borderId="0" applyFont="0" applyFill="0" applyBorder="0" applyAlignment="0" applyProtection="0"/>
    <xf numFmtId="9" fontId="21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22" fillId="0" borderId="0" xfId="0" applyFont="1">
      <alignment vertical="center"/>
    </xf>
    <xf numFmtId="181" fontId="22" fillId="0" borderId="0" xfId="0" applyNumberFormat="1" applyFont="1" applyAlignment="1">
      <alignment horizontal="center" vertical="center"/>
    </xf>
    <xf numFmtId="182" fontId="22" fillId="0" borderId="0" xfId="0" applyNumberFormat="1" applyFont="1" applyAlignment="1">
      <alignment horizontal="center" vertical="center"/>
    </xf>
    <xf numFmtId="180" fontId="23" fillId="0" borderId="0" xfId="0" applyNumberFormat="1" applyFont="1">
      <alignment vertical="center"/>
    </xf>
    <xf numFmtId="180" fontId="23" fillId="0" borderId="8" xfId="0" applyNumberFormat="1" applyFont="1" applyBorder="1">
      <alignment vertical="center"/>
    </xf>
    <xf numFmtId="180" fontId="23" fillId="0" borderId="7" xfId="0" applyNumberFormat="1" applyFont="1" applyBorder="1">
      <alignment vertical="center"/>
    </xf>
    <xf numFmtId="0" fontId="22" fillId="0" borderId="13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10" borderId="0" xfId="0" applyFont="1" applyFill="1">
      <alignment vertical="center"/>
    </xf>
    <xf numFmtId="183" fontId="23" fillId="0" borderId="17" xfId="43" applyNumberFormat="1" applyFont="1" applyBorder="1" applyAlignment="1">
      <alignment horizontal="center" vertical="center"/>
    </xf>
    <xf numFmtId="183" fontId="23" fillId="0" borderId="14" xfId="43" applyNumberFormat="1" applyFont="1" applyBorder="1" applyAlignment="1">
      <alignment horizontal="center" vertical="center"/>
    </xf>
    <xf numFmtId="183" fontId="23" fillId="0" borderId="15" xfId="43" applyNumberFormat="1" applyFont="1" applyBorder="1" applyAlignment="1">
      <alignment horizontal="center" vertical="center"/>
    </xf>
    <xf numFmtId="183" fontId="23" fillId="0" borderId="10" xfId="43" applyNumberFormat="1" applyFont="1" applyBorder="1" applyAlignment="1">
      <alignment horizontal="center" vertical="center"/>
    </xf>
    <xf numFmtId="183" fontId="23" fillId="0" borderId="16" xfId="43" applyNumberFormat="1" applyFont="1" applyBorder="1" applyAlignment="1">
      <alignment horizontal="center" vertical="center"/>
    </xf>
    <xf numFmtId="183" fontId="23" fillId="0" borderId="12" xfId="43" applyNumberFormat="1" applyFont="1" applyBorder="1" applyAlignment="1">
      <alignment horizontal="center" vertical="center"/>
    </xf>
    <xf numFmtId="183" fontId="23" fillId="0" borderId="18" xfId="43" applyNumberFormat="1" applyFont="1" applyBorder="1" applyAlignment="1">
      <alignment horizontal="center" vertical="center"/>
    </xf>
    <xf numFmtId="183" fontId="23" fillId="0" borderId="19" xfId="43" applyNumberFormat="1" applyFont="1" applyBorder="1" applyAlignment="1">
      <alignment horizontal="center" vertical="center"/>
    </xf>
    <xf numFmtId="183" fontId="23" fillId="0" borderId="20" xfId="43" applyNumberFormat="1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0" fillId="10" borderId="0" xfId="0" applyFill="1">
      <alignment vertical="center"/>
    </xf>
    <xf numFmtId="184" fontId="23" fillId="0" borderId="18" xfId="43" applyNumberFormat="1" applyFont="1" applyBorder="1" applyAlignment="1">
      <alignment horizontal="right" vertical="center"/>
    </xf>
    <xf numFmtId="184" fontId="23" fillId="0" borderId="17" xfId="43" applyNumberFormat="1" applyFont="1" applyBorder="1" applyAlignment="1">
      <alignment horizontal="right" vertical="center"/>
    </xf>
    <xf numFmtId="184" fontId="23" fillId="0" borderId="14" xfId="43" applyNumberFormat="1" applyFont="1" applyBorder="1" applyAlignment="1">
      <alignment horizontal="right" vertical="center"/>
    </xf>
    <xf numFmtId="184" fontId="23" fillId="0" borderId="19" xfId="43" applyNumberFormat="1" applyFont="1" applyBorder="1" applyAlignment="1">
      <alignment horizontal="right" vertical="center"/>
    </xf>
    <xf numFmtId="184" fontId="23" fillId="0" borderId="15" xfId="43" applyNumberFormat="1" applyFont="1" applyBorder="1" applyAlignment="1">
      <alignment horizontal="right" vertical="center"/>
    </xf>
    <xf numFmtId="184" fontId="23" fillId="0" borderId="10" xfId="43" applyNumberFormat="1" applyFont="1" applyBorder="1" applyAlignment="1">
      <alignment horizontal="right" vertical="center"/>
    </xf>
    <xf numFmtId="184" fontId="23" fillId="0" borderId="19" xfId="0" applyNumberFormat="1" applyFont="1" applyBorder="1" applyAlignment="1">
      <alignment horizontal="right" vertical="center"/>
    </xf>
    <xf numFmtId="184" fontId="23" fillId="0" borderId="15" xfId="0" applyNumberFormat="1" applyFont="1" applyBorder="1" applyAlignment="1">
      <alignment horizontal="right" vertical="center"/>
    </xf>
    <xf numFmtId="184" fontId="23" fillId="0" borderId="10" xfId="0" applyNumberFormat="1" applyFont="1" applyBorder="1" applyAlignment="1">
      <alignment horizontal="right" vertical="center"/>
    </xf>
    <xf numFmtId="184" fontId="23" fillId="0" borderId="20" xfId="0" applyNumberFormat="1" applyFont="1" applyBorder="1" applyAlignment="1">
      <alignment horizontal="right" vertical="center"/>
    </xf>
    <xf numFmtId="184" fontId="23" fillId="0" borderId="16" xfId="0" applyNumberFormat="1" applyFont="1" applyBorder="1" applyAlignment="1">
      <alignment horizontal="right" vertical="center"/>
    </xf>
    <xf numFmtId="184" fontId="23" fillId="0" borderId="12" xfId="0" applyNumberFormat="1" applyFont="1" applyBorder="1" applyAlignment="1">
      <alignment horizontal="right" vertical="center"/>
    </xf>
    <xf numFmtId="9" fontId="23" fillId="0" borderId="19" xfId="43" applyFont="1" applyBorder="1" applyAlignment="1">
      <alignment horizontal="right" vertical="center"/>
    </xf>
    <xf numFmtId="184" fontId="23" fillId="0" borderId="0" xfId="0" applyNumberFormat="1" applyFont="1">
      <alignment vertical="center"/>
    </xf>
    <xf numFmtId="0" fontId="22" fillId="0" borderId="0" xfId="0" applyFont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184" fontId="23" fillId="0" borderId="7" xfId="43" applyNumberFormat="1" applyFont="1" applyBorder="1">
      <alignment vertical="center"/>
    </xf>
    <xf numFmtId="0" fontId="22" fillId="0" borderId="7" xfId="0" applyFont="1" applyBorder="1">
      <alignment vertical="center"/>
    </xf>
    <xf numFmtId="9" fontId="23" fillId="0" borderId="7" xfId="43" applyFont="1" applyBorder="1">
      <alignment vertical="center"/>
    </xf>
    <xf numFmtId="0" fontId="22" fillId="0" borderId="30" xfId="0" applyFont="1" applyBorder="1" applyAlignment="1">
      <alignment horizontal="left" vertical="center"/>
    </xf>
    <xf numFmtId="184" fontId="23" fillId="0" borderId="30" xfId="0" applyNumberFormat="1" applyFont="1" applyBorder="1">
      <alignment vertical="center"/>
    </xf>
    <xf numFmtId="0" fontId="11" fillId="2" borderId="31" xfId="0" applyFont="1" applyFill="1" applyBorder="1" applyAlignment="1">
      <alignment horizontal="center" vertical="center"/>
    </xf>
    <xf numFmtId="0" fontId="22" fillId="11" borderId="30" xfId="0" applyFont="1" applyFill="1" applyBorder="1">
      <alignment vertical="center"/>
    </xf>
    <xf numFmtId="0" fontId="22" fillId="11" borderId="8" xfId="0" applyFont="1" applyFill="1" applyBorder="1" applyAlignment="1">
      <alignment horizontal="left" vertical="center"/>
    </xf>
    <xf numFmtId="185" fontId="25" fillId="11" borderId="8" xfId="0" applyNumberFormat="1" applyFont="1" applyFill="1" applyBorder="1">
      <alignment vertical="center"/>
    </xf>
    <xf numFmtId="184" fontId="26" fillId="11" borderId="30" xfId="0" applyNumberFormat="1" applyFont="1" applyFill="1" applyBorder="1">
      <alignment vertical="center"/>
    </xf>
    <xf numFmtId="184" fontId="26" fillId="11" borderId="8" xfId="0" applyNumberFormat="1" applyFont="1" applyFill="1" applyBorder="1">
      <alignment vertical="center"/>
    </xf>
    <xf numFmtId="0" fontId="27" fillId="11" borderId="30" xfId="0" applyFont="1" applyFill="1" applyBorder="1">
      <alignment vertical="center"/>
    </xf>
    <xf numFmtId="0" fontId="28" fillId="11" borderId="8" xfId="0" applyFont="1" applyFill="1" applyBorder="1" applyAlignment="1">
      <alignment horizontal="left" vertical="center"/>
    </xf>
    <xf numFmtId="0" fontId="27" fillId="11" borderId="8" xfId="0" applyFont="1" applyFill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9" fillId="2" borderId="24" xfId="0" applyFont="1" applyFill="1" applyBorder="1" applyAlignment="1">
      <alignment horizontal="center" vertical="center"/>
    </xf>
    <xf numFmtId="0" fontId="29" fillId="2" borderId="25" xfId="0" applyFont="1" applyFill="1" applyBorder="1" applyAlignment="1">
      <alignment horizontal="center" vertical="center"/>
    </xf>
    <xf numFmtId="183" fontId="30" fillId="0" borderId="14" xfId="43" applyNumberFormat="1" applyFont="1" applyBorder="1" applyAlignment="1">
      <alignment horizontal="center" vertical="center"/>
    </xf>
    <xf numFmtId="183" fontId="30" fillId="0" borderId="10" xfId="43" applyNumberFormat="1" applyFont="1" applyBorder="1" applyAlignment="1">
      <alignment horizontal="center" vertical="center"/>
    </xf>
    <xf numFmtId="183" fontId="30" fillId="0" borderId="12" xfId="43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83" fontId="0" fillId="0" borderId="0" xfId="0" applyNumberFormat="1" applyFill="1" applyBorder="1" applyAlignment="1">
      <alignment vertical="center"/>
    </xf>
    <xf numFmtId="180" fontId="0" fillId="0" borderId="7" xfId="0" applyNumberFormat="1" applyFill="1" applyBorder="1" applyAlignment="1">
      <alignment vertical="center"/>
    </xf>
    <xf numFmtId="0" fontId="32" fillId="12" borderId="33" xfId="0" applyFont="1" applyFill="1" applyBorder="1" applyAlignment="1">
      <alignment horizontal="left" vertical="center"/>
    </xf>
    <xf numFmtId="0" fontId="31" fillId="12" borderId="32" xfId="0" applyFont="1" applyFill="1" applyBorder="1" applyAlignment="1">
      <alignment horizontal="left" vertical="center"/>
    </xf>
    <xf numFmtId="0" fontId="32" fillId="12" borderId="32" xfId="0" applyFont="1" applyFill="1" applyBorder="1" applyAlignment="1">
      <alignment horizontal="left" vertical="center"/>
    </xf>
    <xf numFmtId="0" fontId="0" fillId="0" borderId="34" xfId="0" applyFill="1" applyBorder="1" applyAlignment="1">
      <alignment vertical="center"/>
    </xf>
    <xf numFmtId="0" fontId="33" fillId="13" borderId="0" xfId="0" applyFont="1" applyFill="1" applyBorder="1" applyAlignment="1">
      <alignment horizontal="left" vertical="center"/>
    </xf>
    <xf numFmtId="0" fontId="34" fillId="13" borderId="34" xfId="0" applyFont="1" applyFill="1" applyBorder="1" applyAlignment="1">
      <alignment horizontal="left" vertical="center"/>
    </xf>
    <xf numFmtId="0" fontId="35" fillId="13" borderId="34" xfId="0" applyFont="1" applyFill="1" applyBorder="1" applyAlignment="1">
      <alignment horizontal="left" vertical="center"/>
    </xf>
    <xf numFmtId="0" fontId="33" fillId="13" borderId="7" xfId="0" applyFont="1" applyFill="1" applyBorder="1" applyAlignment="1">
      <alignment horizontal="left" vertical="center"/>
    </xf>
    <xf numFmtId="0" fontId="36" fillId="12" borderId="32" xfId="0" applyFont="1" applyFill="1" applyBorder="1" applyAlignment="1">
      <alignment horizontal="right" vertical="center"/>
    </xf>
    <xf numFmtId="0" fontId="36" fillId="12" borderId="33" xfId="0" applyFont="1" applyFill="1" applyBorder="1" applyAlignment="1">
      <alignment horizontal="right" vertical="center"/>
    </xf>
    <xf numFmtId="183" fontId="0" fillId="14" borderId="0" xfId="0" applyNumberFormat="1" applyFill="1" applyBorder="1" applyAlignment="1">
      <alignment vertical="center"/>
    </xf>
    <xf numFmtId="0" fontId="37" fillId="0" borderId="0" xfId="0" applyFont="1" applyFill="1" applyBorder="1" applyAlignment="1">
      <alignment vertical="top" wrapText="1"/>
    </xf>
    <xf numFmtId="184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85" fontId="0" fillId="0" borderId="7" xfId="0" applyNumberFormat="1" applyFill="1" applyBorder="1" applyAlignment="1">
      <alignment vertical="center"/>
    </xf>
    <xf numFmtId="184" fontId="0" fillId="14" borderId="0" xfId="0" applyNumberFormat="1" applyFill="1" applyBorder="1" applyAlignment="1">
      <alignment vertical="center"/>
    </xf>
    <xf numFmtId="9" fontId="0" fillId="14" borderId="0" xfId="0" applyNumberFormat="1" applyFill="1" applyBorder="1" applyAlignment="1">
      <alignment vertical="center"/>
    </xf>
    <xf numFmtId="0" fontId="11" fillId="2" borderId="28" xfId="0" applyFont="1" applyFill="1" applyBorder="1" applyAlignment="1">
      <alignment horizontal="center" vertical="center"/>
    </xf>
    <xf numFmtId="0" fontId="11" fillId="2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textRotation="255"/>
    </xf>
  </cellXfs>
  <cellStyles count="44">
    <cellStyle name="Background" xfId="24"/>
    <cellStyle name="Comma [0]" xfId="25"/>
    <cellStyle name="Comma_About" xfId="26"/>
    <cellStyle name="Currency [0]" xfId="27"/>
    <cellStyle name="Currency_About" xfId="28"/>
    <cellStyle name="Date" xfId="29"/>
    <cellStyle name="Fixed" xfId="30"/>
    <cellStyle name="Heading 1" xfId="31"/>
    <cellStyle name="Heading 2" xfId="32"/>
    <cellStyle name="Named.Cell" xfId="33"/>
    <cellStyle name="Normal_About" xfId="34"/>
    <cellStyle name="Not.In.Spec" xfId="35"/>
    <cellStyle name="Percent_APP" xfId="36"/>
    <cellStyle name="Run.Me" xfId="37"/>
    <cellStyle name="Sec.Major" xfId="38"/>
    <cellStyle name="Sec.Minor" xfId="39"/>
    <cellStyle name="Table.Heading" xfId="40"/>
    <cellStyle name="Total" xfId="41"/>
    <cellStyle name="一般" xfId="0" builtinId="0"/>
    <cellStyle name="一般 10" xfId="20"/>
    <cellStyle name="一般 2" xfId="3"/>
    <cellStyle name="一般 3" xfId="5"/>
    <cellStyle name="一般 4" xfId="6"/>
    <cellStyle name="一般 5" xfId="8"/>
    <cellStyle name="一般 6" xfId="10"/>
    <cellStyle name="一般 7" xfId="11"/>
    <cellStyle name="一般 7 2" xfId="15"/>
    <cellStyle name="一般 8" xfId="16"/>
    <cellStyle name="一般 9" xfId="1"/>
    <cellStyle name="千分位 2" xfId="4"/>
    <cellStyle name="千分位 3" xfId="7"/>
    <cellStyle name="千分位 4" xfId="12"/>
    <cellStyle name="千分位 4 2" xfId="17"/>
    <cellStyle name="千分位 5" xfId="2"/>
    <cellStyle name="千分位 6" xfId="42"/>
    <cellStyle name="千分位[0] 2" xfId="21"/>
    <cellStyle name="百分比" xfId="43" builtinId="5"/>
    <cellStyle name="百分比 2" xfId="13"/>
    <cellStyle name="百分比 2 2" xfId="18"/>
    <cellStyle name="百分比 3" xfId="14"/>
    <cellStyle name="黑底白字標題列" xfId="22"/>
    <cellStyle name="黑底白字標題列 2" xfId="19"/>
    <cellStyle name="黑底白字標題列 3" xfId="23"/>
    <cellStyle name="隨後的超連結" xfId="9"/>
  </cellStyles>
  <dxfs count="0"/>
  <tableStyles count="0" defaultTableStyle="TableStyleMedium2" defaultPivotStyle="PivotStyleLight16"/>
  <colors>
    <mruColors>
      <color rgb="FF0000FF"/>
      <color rgb="FFCCFFFF"/>
      <color rgb="FF000099"/>
      <color rgb="FFCCFFCC"/>
      <color rgb="FFFF00FF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11</xdr:col>
          <xdr:colOff>0</xdr:colOff>
          <xdr:row>2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原始資料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0</xdr:rowOff>
        </xdr:from>
        <xdr:to>
          <xdr:col>12</xdr:col>
          <xdr:colOff>0</xdr:colOff>
          <xdr:row>2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業務部提案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247650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營業部提案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247650</xdr:rowOff>
        </xdr:from>
        <xdr:to>
          <xdr:col>12</xdr:col>
          <xdr:colOff>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委外方案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2</xdr:row>
          <xdr:rowOff>0</xdr:rowOff>
        </xdr:from>
        <xdr:to>
          <xdr:col>9</xdr:col>
          <xdr:colOff>733425</xdr:colOff>
          <xdr:row>2</xdr:row>
          <xdr:rowOff>238125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原始資料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2</xdr:row>
          <xdr:rowOff>247650</xdr:rowOff>
        </xdr:from>
        <xdr:to>
          <xdr:col>9</xdr:col>
          <xdr:colOff>733425</xdr:colOff>
          <xdr:row>3</xdr:row>
          <xdr:rowOff>228600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3</xdr:row>
          <xdr:rowOff>247650</xdr:rowOff>
        </xdr:from>
        <xdr:to>
          <xdr:col>9</xdr:col>
          <xdr:colOff>733425</xdr:colOff>
          <xdr:row>4</xdr:row>
          <xdr:rowOff>228600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4</xdr:row>
          <xdr:rowOff>247650</xdr:rowOff>
        </xdr:from>
        <xdr:to>
          <xdr:col>9</xdr:col>
          <xdr:colOff>733425</xdr:colOff>
          <xdr:row>5</xdr:row>
          <xdr:rowOff>228600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19050</xdr:colOff>
          <xdr:row>2</xdr:row>
          <xdr:rowOff>0</xdr:rowOff>
        </xdr:from>
        <xdr:to>
          <xdr:col>10</xdr:col>
          <xdr:colOff>733425</xdr:colOff>
          <xdr:row>2</xdr:row>
          <xdr:rowOff>238125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19050</xdr:colOff>
          <xdr:row>2</xdr:row>
          <xdr:rowOff>247650</xdr:rowOff>
        </xdr:from>
        <xdr:to>
          <xdr:col>10</xdr:col>
          <xdr:colOff>733425</xdr:colOff>
          <xdr:row>3</xdr:row>
          <xdr:rowOff>228600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19050</xdr:colOff>
          <xdr:row>3</xdr:row>
          <xdr:rowOff>247650</xdr:rowOff>
        </xdr:from>
        <xdr:to>
          <xdr:col>10</xdr:col>
          <xdr:colOff>733425</xdr:colOff>
          <xdr:row>4</xdr:row>
          <xdr:rowOff>228600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2</xdr:row>
          <xdr:rowOff>0</xdr:rowOff>
        </xdr:from>
        <xdr:to>
          <xdr:col>11</xdr:col>
          <xdr:colOff>733425</xdr:colOff>
          <xdr:row>2</xdr:row>
          <xdr:rowOff>238125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2</xdr:row>
          <xdr:rowOff>247650</xdr:rowOff>
        </xdr:from>
        <xdr:to>
          <xdr:col>11</xdr:col>
          <xdr:colOff>733425</xdr:colOff>
          <xdr:row>3</xdr:row>
          <xdr:rowOff>228600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提案Y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H16"/>
  <sheetViews>
    <sheetView showGridLines="0" workbookViewId="0">
      <selection activeCell="C25" sqref="C25"/>
    </sheetView>
  </sheetViews>
  <sheetFormatPr defaultRowHeight="16.5" outlineLevelRow="1" outlineLevelCol="1" x14ac:dyDescent="0.25"/>
  <cols>
    <col min="3" max="3" width="17.375" bestFit="1" customWidth="1"/>
    <col min="4" max="4" width="11.625" hidden="1" customWidth="1" outlineLevel="1"/>
    <col min="5" max="8" width="11.625" bestFit="1" customWidth="1" outlineLevel="1"/>
  </cols>
  <sheetData>
    <row r="1" spans="2:8" ht="17.25" thickBot="1" x14ac:dyDescent="0.3"/>
    <row r="2" spans="2:8" x14ac:dyDescent="0.25">
      <c r="B2" s="68" t="s">
        <v>64</v>
      </c>
      <c r="C2" s="69"/>
      <c r="D2" s="75"/>
      <c r="E2" s="75"/>
      <c r="F2" s="75"/>
      <c r="G2" s="75"/>
      <c r="H2" s="75"/>
    </row>
    <row r="3" spans="2:8" collapsed="1" x14ac:dyDescent="0.25">
      <c r="B3" s="67"/>
      <c r="C3" s="67"/>
      <c r="D3" s="76" t="s">
        <v>66</v>
      </c>
      <c r="E3" s="76" t="s">
        <v>59</v>
      </c>
      <c r="F3" s="76" t="s">
        <v>61</v>
      </c>
      <c r="G3" s="76" t="s">
        <v>62</v>
      </c>
      <c r="H3" s="76" t="s">
        <v>63</v>
      </c>
    </row>
    <row r="4" spans="2:8" ht="57" hidden="1" outlineLevel="1" x14ac:dyDescent="0.25">
      <c r="B4" s="71"/>
      <c r="C4" s="71"/>
      <c r="D4" s="64"/>
      <c r="E4" s="78" t="s">
        <v>60</v>
      </c>
      <c r="F4" s="78" t="s">
        <v>60</v>
      </c>
      <c r="G4" s="78" t="s">
        <v>60</v>
      </c>
      <c r="H4" s="78" t="s">
        <v>60</v>
      </c>
    </row>
    <row r="5" spans="2:8" x14ac:dyDescent="0.25">
      <c r="B5" s="72" t="s">
        <v>65</v>
      </c>
      <c r="C5" s="73"/>
      <c r="D5" s="70"/>
      <c r="E5" s="70"/>
      <c r="F5" s="70"/>
      <c r="G5" s="70"/>
      <c r="H5" s="70"/>
    </row>
    <row r="6" spans="2:8" outlineLevel="1" x14ac:dyDescent="0.25">
      <c r="B6" s="71"/>
      <c r="C6" s="71" t="s">
        <v>57</v>
      </c>
      <c r="D6" s="65">
        <v>0.08</v>
      </c>
      <c r="E6" s="77">
        <v>0.08</v>
      </c>
      <c r="F6" s="77">
        <v>9.5000000000000001E-2</v>
      </c>
      <c r="G6" s="77">
        <v>0.09</v>
      </c>
      <c r="H6" s="77">
        <v>0.1</v>
      </c>
    </row>
    <row r="7" spans="2:8" outlineLevel="1" x14ac:dyDescent="0.25">
      <c r="B7" s="71"/>
      <c r="C7" s="71" t="s">
        <v>2</v>
      </c>
      <c r="D7" s="65">
        <v>0.05</v>
      </c>
      <c r="E7" s="77">
        <v>0.05</v>
      </c>
      <c r="F7" s="77">
        <v>0.06</v>
      </c>
      <c r="G7" s="77">
        <v>5.5E-2</v>
      </c>
      <c r="H7" s="77">
        <v>0.06</v>
      </c>
    </row>
    <row r="8" spans="2:8" outlineLevel="1" x14ac:dyDescent="0.25">
      <c r="B8" s="71"/>
      <c r="C8" s="71" t="s">
        <v>4</v>
      </c>
      <c r="D8" s="65">
        <v>0.03</v>
      </c>
      <c r="E8" s="77">
        <v>0.03</v>
      </c>
      <c r="F8" s="77">
        <v>0.04</v>
      </c>
      <c r="G8" s="77">
        <v>3.5000000000000003E-2</v>
      </c>
      <c r="H8" s="77">
        <v>0.03</v>
      </c>
    </row>
    <row r="9" spans="2:8" outlineLevel="1" x14ac:dyDescent="0.25">
      <c r="B9" s="71"/>
      <c r="C9" s="71" t="s">
        <v>6</v>
      </c>
      <c r="D9" s="65">
        <v>0.04</v>
      </c>
      <c r="E9" s="77">
        <v>0.04</v>
      </c>
      <c r="F9" s="65">
        <v>0.04</v>
      </c>
      <c r="G9" s="77">
        <v>3.5000000000000003E-2</v>
      </c>
      <c r="H9" s="77">
        <v>0.03</v>
      </c>
    </row>
    <row r="10" spans="2:8" outlineLevel="1" x14ac:dyDescent="0.25">
      <c r="B10" s="71"/>
      <c r="C10" s="71" t="s">
        <v>8</v>
      </c>
      <c r="D10" s="65">
        <v>0.08</v>
      </c>
      <c r="E10" s="77">
        <v>0.08</v>
      </c>
      <c r="F10" s="77">
        <v>9.5000000000000001E-2</v>
      </c>
      <c r="G10" s="65">
        <v>0.08</v>
      </c>
      <c r="H10" s="77">
        <v>8.5000000000000006E-2</v>
      </c>
    </row>
    <row r="11" spans="2:8" outlineLevel="1" x14ac:dyDescent="0.25">
      <c r="B11" s="71"/>
      <c r="C11" s="71" t="s">
        <v>10</v>
      </c>
      <c r="D11" s="65">
        <v>0.1</v>
      </c>
      <c r="E11" s="77">
        <v>0.1</v>
      </c>
      <c r="F11" s="77">
        <v>0.08</v>
      </c>
      <c r="G11" s="77">
        <v>0.09</v>
      </c>
      <c r="H11" s="77">
        <v>0.08</v>
      </c>
    </row>
    <row r="12" spans="2:8" x14ac:dyDescent="0.25">
      <c r="B12" s="72" t="s">
        <v>67</v>
      </c>
      <c r="C12" s="73"/>
      <c r="D12" s="70"/>
      <c r="E12" s="70"/>
      <c r="F12" s="70"/>
      <c r="G12" s="70"/>
      <c r="H12" s="70"/>
    </row>
    <row r="13" spans="2:8" ht="17.25" outlineLevel="1" thickBot="1" x14ac:dyDescent="0.3">
      <c r="B13" s="74"/>
      <c r="C13" s="74" t="s">
        <v>58</v>
      </c>
      <c r="D13" s="66">
        <v>3106661.1572998101</v>
      </c>
      <c r="E13" s="66">
        <v>3106661.1572998101</v>
      </c>
      <c r="F13" s="66">
        <v>4052673.7681203699</v>
      </c>
      <c r="G13" s="66">
        <v>4002053.4851427302</v>
      </c>
      <c r="H13" s="66">
        <v>4924396.9402623698</v>
      </c>
    </row>
    <row r="14" spans="2:8" x14ac:dyDescent="0.25">
      <c r="B14" t="s">
        <v>68</v>
      </c>
    </row>
    <row r="15" spans="2:8" x14ac:dyDescent="0.25">
      <c r="B15" t="s">
        <v>69</v>
      </c>
    </row>
    <row r="16" spans="2:8" x14ac:dyDescent="0.25">
      <c r="B16" t="s">
        <v>70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pageSetUpPr autoPageBreaks="0"/>
  </sheetPr>
  <dimension ref="B1:T13"/>
  <sheetViews>
    <sheetView topLeftCell="G1" zoomScale="120" zoomScaleNormal="120" workbookViewId="0">
      <selection activeCell="L7" sqref="L7"/>
    </sheetView>
  </sheetViews>
  <sheetFormatPr defaultColWidth="8.75" defaultRowHeight="15.75" x14ac:dyDescent="0.25"/>
  <cols>
    <col min="1" max="1" width="2.75" style="1" customWidth="1"/>
    <col min="2" max="2" width="8.375" style="1" customWidth="1"/>
    <col min="3" max="3" width="5" style="1" bestFit="1" customWidth="1"/>
    <col min="4" max="4" width="13.875" style="1" bestFit="1" customWidth="1"/>
    <col min="5" max="9" width="11.75" style="1" customWidth="1"/>
    <col min="10" max="10" width="2.75" style="1" customWidth="1"/>
    <col min="11" max="12" width="9.5" style="1" customWidth="1"/>
    <col min="13" max="13" width="2.75" style="1" customWidth="1"/>
    <col min="14" max="14" width="0.5" style="1" customWidth="1"/>
    <col min="15" max="15" width="2.75" style="1" customWidth="1"/>
    <col min="16" max="17" width="10.25" style="1" customWidth="1"/>
    <col min="18" max="19" width="12.625" style="1" bestFit="1" customWidth="1"/>
    <col min="20" max="20" width="10.25" style="1" bestFit="1" customWidth="1"/>
    <col min="21" max="16384" width="8.75" style="1"/>
  </cols>
  <sheetData>
    <row r="1" spans="2:20" x14ac:dyDescent="0.25">
      <c r="N1" s="10"/>
    </row>
    <row r="2" spans="2:20" ht="19.899999999999999" customHeight="1" x14ac:dyDescent="0.25">
      <c r="D2" s="3">
        <f ca="1">YEAR(TODAY())-1</f>
        <v>2013</v>
      </c>
      <c r="E2" s="2">
        <f ca="1">D2+1</f>
        <v>2014</v>
      </c>
      <c r="F2" s="2">
        <f t="shared" ref="F2:I2" ca="1" si="0">E2+1</f>
        <v>2015</v>
      </c>
      <c r="G2" s="2">
        <f t="shared" ca="1" si="0"/>
        <v>2016</v>
      </c>
      <c r="H2" s="2">
        <f t="shared" ca="1" si="0"/>
        <v>2017</v>
      </c>
      <c r="I2" s="2">
        <f t="shared" ca="1" si="0"/>
        <v>2018</v>
      </c>
      <c r="N2" s="10"/>
    </row>
    <row r="3" spans="2:20" ht="19.899999999999999" customHeight="1" thickBot="1" x14ac:dyDescent="0.3">
      <c r="C3" s="58" t="s">
        <v>0</v>
      </c>
      <c r="D3" s="5">
        <v>12780000</v>
      </c>
      <c r="E3" s="5">
        <f t="shared" ref="E3:I3" si="1">D3*(1+$L$6)</f>
        <v>13802400</v>
      </c>
      <c r="F3" s="5">
        <f t="shared" si="1"/>
        <v>14906592.000000002</v>
      </c>
      <c r="G3" s="5">
        <f t="shared" si="1"/>
        <v>16099119.360000003</v>
      </c>
      <c r="H3" s="5">
        <f t="shared" si="1"/>
        <v>17387048.908800006</v>
      </c>
      <c r="I3" s="5">
        <f t="shared" si="1"/>
        <v>18778012.821504008</v>
      </c>
      <c r="N3" s="10"/>
    </row>
    <row r="4" spans="2:20" ht="19.899999999999999" customHeight="1" thickTop="1" thickBot="1" x14ac:dyDescent="0.3">
      <c r="N4" s="10"/>
      <c r="P4" s="25"/>
      <c r="Q4" s="26" t="s">
        <v>56</v>
      </c>
      <c r="R4" s="23" t="s">
        <v>16</v>
      </c>
      <c r="S4" s="23" t="s">
        <v>17</v>
      </c>
      <c r="T4" s="24" t="s">
        <v>18</v>
      </c>
    </row>
    <row r="5" spans="2:20" ht="19.899999999999999" customHeight="1" thickBot="1" x14ac:dyDescent="0.3">
      <c r="B5" s="86" t="s">
        <v>1</v>
      </c>
      <c r="C5" s="1" t="s">
        <v>3</v>
      </c>
      <c r="D5" s="4">
        <v>3678000</v>
      </c>
      <c r="E5" s="4">
        <f t="shared" ref="E5:I9" si="2">D5*(1+$L7)</f>
        <v>3861900</v>
      </c>
      <c r="F5" s="4">
        <f t="shared" si="2"/>
        <v>4054995</v>
      </c>
      <c r="G5" s="4">
        <f t="shared" si="2"/>
        <v>4257744.75</v>
      </c>
      <c r="H5" s="4">
        <f t="shared" si="2"/>
        <v>4470631.9874999998</v>
      </c>
      <c r="I5" s="4">
        <f t="shared" si="2"/>
        <v>4694163.586875</v>
      </c>
      <c r="K5" s="84" t="s">
        <v>14</v>
      </c>
      <c r="L5" s="85"/>
      <c r="N5" s="10"/>
      <c r="P5" s="20" t="s">
        <v>0</v>
      </c>
      <c r="Q5" s="17">
        <v>0.08</v>
      </c>
      <c r="R5" s="11">
        <v>9.5000000000000001E-2</v>
      </c>
      <c r="S5" s="11">
        <v>0.09</v>
      </c>
      <c r="T5" s="12">
        <v>0.1</v>
      </c>
    </row>
    <row r="6" spans="2:20" ht="19.899999999999999" customHeight="1" x14ac:dyDescent="0.25">
      <c r="B6" s="86"/>
      <c r="C6" s="1" t="s">
        <v>5</v>
      </c>
      <c r="D6" s="4">
        <v>1684000</v>
      </c>
      <c r="E6" s="4">
        <f t="shared" si="2"/>
        <v>1734520</v>
      </c>
      <c r="F6" s="4">
        <f t="shared" si="2"/>
        <v>1786555.6</v>
      </c>
      <c r="G6" s="4">
        <f t="shared" si="2"/>
        <v>1840152.2680000002</v>
      </c>
      <c r="H6" s="4">
        <f t="shared" si="2"/>
        <v>1895356.8360400002</v>
      </c>
      <c r="I6" s="4">
        <f t="shared" si="2"/>
        <v>1952217.5411212002</v>
      </c>
      <c r="K6" s="7" t="s">
        <v>0</v>
      </c>
      <c r="L6" s="61">
        <v>0.08</v>
      </c>
      <c r="N6" s="10"/>
      <c r="P6" s="21" t="s">
        <v>2</v>
      </c>
      <c r="Q6" s="18">
        <v>0.05</v>
      </c>
      <c r="R6" s="13">
        <v>0.06</v>
      </c>
      <c r="S6" s="13">
        <v>5.5E-2</v>
      </c>
      <c r="T6" s="14">
        <v>0.06</v>
      </c>
    </row>
    <row r="7" spans="2:20" ht="19.899999999999999" customHeight="1" x14ac:dyDescent="0.25">
      <c r="B7" s="86"/>
      <c r="C7" s="1" t="s">
        <v>7</v>
      </c>
      <c r="D7" s="4">
        <v>2042000</v>
      </c>
      <c r="E7" s="4">
        <f t="shared" si="2"/>
        <v>2123680</v>
      </c>
      <c r="F7" s="4">
        <f t="shared" si="2"/>
        <v>2208627.2000000002</v>
      </c>
      <c r="G7" s="4">
        <f t="shared" si="2"/>
        <v>2296972.2880000002</v>
      </c>
      <c r="H7" s="4">
        <f t="shared" si="2"/>
        <v>2388851.1795200002</v>
      </c>
      <c r="I7" s="4">
        <f t="shared" si="2"/>
        <v>2484405.2267008005</v>
      </c>
      <c r="K7" s="8" t="s">
        <v>2</v>
      </c>
      <c r="L7" s="62">
        <v>0.05</v>
      </c>
      <c r="N7" s="10"/>
      <c r="P7" s="21" t="s">
        <v>4</v>
      </c>
      <c r="Q7" s="18">
        <v>0.03</v>
      </c>
      <c r="R7" s="13">
        <v>0.04</v>
      </c>
      <c r="S7" s="13">
        <v>3.5000000000000003E-2</v>
      </c>
      <c r="T7" s="14">
        <v>0.03</v>
      </c>
    </row>
    <row r="8" spans="2:20" ht="19.899999999999999" customHeight="1" x14ac:dyDescent="0.25">
      <c r="B8" s="86"/>
      <c r="C8" s="1" t="s">
        <v>9</v>
      </c>
      <c r="D8" s="4">
        <v>2754000</v>
      </c>
      <c r="E8" s="4">
        <f t="shared" si="2"/>
        <v>2974320</v>
      </c>
      <c r="F8" s="4">
        <f t="shared" si="2"/>
        <v>3212265.6</v>
      </c>
      <c r="G8" s="4">
        <f t="shared" si="2"/>
        <v>3469246.8480000002</v>
      </c>
      <c r="H8" s="4">
        <f t="shared" si="2"/>
        <v>3746786.5958400005</v>
      </c>
      <c r="I8" s="4">
        <f t="shared" si="2"/>
        <v>4046529.5235072006</v>
      </c>
      <c r="K8" s="8" t="s">
        <v>4</v>
      </c>
      <c r="L8" s="62">
        <v>0.03</v>
      </c>
      <c r="N8" s="10"/>
      <c r="P8" s="21" t="s">
        <v>6</v>
      </c>
      <c r="Q8" s="18">
        <v>0.04</v>
      </c>
      <c r="R8" s="13"/>
      <c r="S8" s="13">
        <v>3.5000000000000003E-2</v>
      </c>
      <c r="T8" s="14">
        <v>0.03</v>
      </c>
    </row>
    <row r="9" spans="2:20" ht="19.899999999999999" customHeight="1" thickBot="1" x14ac:dyDescent="0.3">
      <c r="B9" s="86"/>
      <c r="C9" s="1" t="s">
        <v>11</v>
      </c>
      <c r="D9" s="6">
        <v>1548600</v>
      </c>
      <c r="E9" s="6">
        <f t="shared" si="2"/>
        <v>1703460.0000000002</v>
      </c>
      <c r="F9" s="6">
        <f t="shared" si="2"/>
        <v>1873806.0000000005</v>
      </c>
      <c r="G9" s="6">
        <f t="shared" si="2"/>
        <v>2061186.6000000008</v>
      </c>
      <c r="H9" s="6">
        <f t="shared" si="2"/>
        <v>2267305.2600000012</v>
      </c>
      <c r="I9" s="6">
        <f t="shared" si="2"/>
        <v>2494035.7860000017</v>
      </c>
      <c r="K9" s="8" t="s">
        <v>6</v>
      </c>
      <c r="L9" s="62">
        <v>0.04</v>
      </c>
      <c r="N9" s="10"/>
      <c r="P9" s="21" t="s">
        <v>8</v>
      </c>
      <c r="Q9" s="18">
        <v>0.08</v>
      </c>
      <c r="R9" s="13">
        <v>9.5000000000000001E-2</v>
      </c>
      <c r="S9" s="13"/>
      <c r="T9" s="14">
        <v>8.5000000000000006E-2</v>
      </c>
    </row>
    <row r="10" spans="2:20" ht="19.899999999999999" customHeight="1" thickBot="1" x14ac:dyDescent="0.3">
      <c r="B10" s="86" t="s">
        <v>12</v>
      </c>
      <c r="C10" s="86"/>
      <c r="D10" s="5">
        <f t="shared" ref="D10" si="3">SUM(D5:D9)</f>
        <v>11706600</v>
      </c>
      <c r="E10" s="5">
        <f t="shared" ref="E10:I10" si="4">SUM(E5:E9)</f>
        <v>12397880</v>
      </c>
      <c r="F10" s="5">
        <f t="shared" si="4"/>
        <v>13136249.4</v>
      </c>
      <c r="G10" s="5">
        <f t="shared" si="4"/>
        <v>13925302.754000001</v>
      </c>
      <c r="H10" s="5">
        <f t="shared" si="4"/>
        <v>14768931.858900003</v>
      </c>
      <c r="I10" s="5">
        <f t="shared" si="4"/>
        <v>15671351.664204203</v>
      </c>
      <c r="K10" s="8" t="s">
        <v>8</v>
      </c>
      <c r="L10" s="62">
        <v>0.08</v>
      </c>
      <c r="N10" s="10"/>
      <c r="P10" s="22" t="s">
        <v>10</v>
      </c>
      <c r="Q10" s="19">
        <v>0.1</v>
      </c>
      <c r="R10" s="15">
        <v>0.08</v>
      </c>
      <c r="S10" s="15">
        <v>0.09</v>
      </c>
      <c r="T10" s="16">
        <v>0.08</v>
      </c>
    </row>
    <row r="11" spans="2:20" ht="19.899999999999999" customHeight="1" thickTop="1" thickBot="1" x14ac:dyDescent="0.3">
      <c r="K11" s="9" t="s">
        <v>10</v>
      </c>
      <c r="L11" s="63">
        <v>0.1</v>
      </c>
      <c r="N11" s="10"/>
    </row>
    <row r="12" spans="2:20" ht="19.899999999999999" customHeight="1" thickBot="1" x14ac:dyDescent="0.3">
      <c r="B12" s="86" t="s">
        <v>13</v>
      </c>
      <c r="C12" s="86"/>
      <c r="D12" s="5">
        <f t="shared" ref="D12" si="5">D3-D10</f>
        <v>1073400</v>
      </c>
      <c r="E12" s="5">
        <f t="shared" ref="E12:I12" si="6">E3-E10</f>
        <v>1404520</v>
      </c>
      <c r="F12" s="5">
        <f t="shared" si="6"/>
        <v>1770342.6000000015</v>
      </c>
      <c r="G12" s="5">
        <f t="shared" si="6"/>
        <v>2173816.6060000025</v>
      </c>
      <c r="H12" s="5">
        <f t="shared" si="6"/>
        <v>2618117.0499000028</v>
      </c>
      <c r="I12" s="5">
        <f t="shared" si="6"/>
        <v>3106661.1572998054</v>
      </c>
      <c r="N12" s="10"/>
    </row>
    <row r="13" spans="2:20" ht="16.5" thickTop="1" x14ac:dyDescent="0.25">
      <c r="N13" s="10"/>
    </row>
  </sheetData>
  <scenarios current="0" show="0" sqref="I12">
    <scenario name="原始資料" locked="1" count="6" user="Windows 使用者" comment="建立者 Windows 使用者 於 2014/8/12">
      <inputCells r="L6" val="0.08" numFmtId="183"/>
      <inputCells r="L7" val="0.05" numFmtId="183"/>
      <inputCells r="L8" val="0.03" numFmtId="183"/>
      <inputCells r="L9" val="0.04" numFmtId="183"/>
      <inputCells r="L10" val="0.08" numFmtId="183"/>
      <inputCells r="L11" val="0.1" numFmtId="183"/>
    </scenario>
    <scenario name="業務部提案" locked="1" count="5" user="Windows 使用者" comment="建立者 Windows 使用者 於 2014/8/12">
      <inputCells r="L6" val="0.095" numFmtId="183"/>
      <inputCells r="L7" val="0.06" numFmtId="183"/>
      <inputCells r="L8" val="0.04" numFmtId="183"/>
      <inputCells r="L10" val="0.095" numFmtId="183"/>
      <inputCells r="L11" val="0.08" numFmtId="183"/>
    </scenario>
    <scenario name="營業部提案" locked="1" count="5" user="Windows 使用者" comment="建立者 Windows 使用者 於 2014/8/12">
      <inputCells r="L6" val="0.09" numFmtId="183"/>
      <inputCells r="L7" val="0.055" numFmtId="183"/>
      <inputCells r="L8" val="0.035" numFmtId="183"/>
      <inputCells r="L9" val="0.035" numFmtId="183"/>
      <inputCells r="L11" val="0.09" numFmtId="183"/>
    </scenario>
    <scenario name="委外方案" locked="1" count="6" user="Windows 使用者" comment="建立者 Windows 使用者 於 2014/8/12">
      <inputCells r="L6" val="0.1" numFmtId="183"/>
      <inputCells r="L7" val="0.06" numFmtId="183"/>
      <inputCells r="L8" val="0.03" numFmtId="183"/>
      <inputCells r="L9" val="0.03" numFmtId="183"/>
      <inputCells r="L10" val="0.085" numFmtId="183"/>
      <inputCells r="L11" val="0.08" numFmtId="183"/>
    </scenario>
  </scenarios>
  <mergeCells count="4">
    <mergeCell ref="K5:L5"/>
    <mergeCell ref="B5:B9"/>
    <mergeCell ref="B10:C10"/>
    <mergeCell ref="B12:C1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原始資料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業務部提案">
                <anchor moveWithCells="1">
                  <from>
                    <xdr:col>11</xdr:col>
                    <xdr:colOff>9525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營業部提案">
                <anchor moveWithCells="1">
                  <from>
                    <xdr:col>10</xdr:col>
                    <xdr:colOff>9525</xdr:colOff>
                    <xdr:row>2</xdr:row>
                    <xdr:rowOff>247650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委外方案">
                <anchor moveWithCells="1">
                  <from>
                    <xdr:col>11</xdr:col>
                    <xdr:colOff>9525</xdr:colOff>
                    <xdr:row>2</xdr:row>
                    <xdr:rowOff>247650</xdr:rowOff>
                  </from>
                  <to>
                    <xdr:col>12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autoPageBreaks="0"/>
  </sheetPr>
  <dimension ref="A1:P13"/>
  <sheetViews>
    <sheetView workbookViewId="0">
      <selection activeCell="L15" sqref="L15"/>
    </sheetView>
  </sheetViews>
  <sheetFormatPr defaultRowHeight="16.5" x14ac:dyDescent="0.25"/>
  <cols>
    <col min="1" max="1" width="2.75" customWidth="1"/>
    <col min="2" max="2" width="3.75" customWidth="1"/>
    <col min="3" max="3" width="8.75" customWidth="1"/>
    <col min="4" max="4" width="11.5" customWidth="1"/>
    <col min="5" max="5" width="10.75" customWidth="1"/>
    <col min="6" max="6" width="3.75" customWidth="1"/>
    <col min="7" max="7" width="17.25" customWidth="1"/>
    <col min="8" max="8" width="9.75" customWidth="1"/>
    <col min="9" max="9" width="2.75" customWidth="1"/>
    <col min="10" max="10" width="0.5" customWidth="1"/>
    <col min="11" max="11" width="2.75" customWidth="1"/>
    <col min="12" max="12" width="20.25" bestFit="1" customWidth="1"/>
    <col min="13" max="16" width="9.75" customWidth="1"/>
  </cols>
  <sheetData>
    <row r="1" spans="1:16" ht="17.25" thickBot="1" x14ac:dyDescent="0.3">
      <c r="A1" s="1"/>
      <c r="B1" s="1"/>
      <c r="C1" s="1"/>
      <c r="D1" s="1"/>
      <c r="E1" s="1"/>
      <c r="F1" s="1"/>
      <c r="G1" s="1"/>
      <c r="H1" s="1"/>
      <c r="I1" s="1"/>
      <c r="J1" s="10"/>
      <c r="K1" s="1"/>
      <c r="L1" s="1"/>
      <c r="M1" s="1"/>
      <c r="N1" s="1"/>
      <c r="O1" s="1"/>
      <c r="P1" s="1"/>
    </row>
    <row r="2" spans="1:16" ht="19.899999999999999" customHeight="1" thickBot="1" x14ac:dyDescent="0.3">
      <c r="A2" s="1"/>
      <c r="B2" s="87" t="s">
        <v>19</v>
      </c>
      <c r="C2" s="1" t="s">
        <v>21</v>
      </c>
      <c r="D2" s="41">
        <v>2150</v>
      </c>
      <c r="E2" s="1"/>
      <c r="F2" s="87" t="s">
        <v>26</v>
      </c>
      <c r="G2" s="42" t="s">
        <v>28</v>
      </c>
      <c r="H2" s="41">
        <v>1082</v>
      </c>
      <c r="I2" s="1"/>
      <c r="J2" s="10"/>
      <c r="K2" s="1"/>
      <c r="L2" s="25"/>
      <c r="M2" s="26" t="s">
        <v>15</v>
      </c>
      <c r="N2" s="23" t="s">
        <v>44</v>
      </c>
      <c r="O2" s="23" t="s">
        <v>45</v>
      </c>
      <c r="P2" s="24" t="s">
        <v>46</v>
      </c>
    </row>
    <row r="3" spans="1:16" ht="19.899999999999999" customHeight="1" thickBot="1" x14ac:dyDescent="0.3">
      <c r="A3" s="1"/>
      <c r="B3" s="87"/>
      <c r="C3" s="1" t="s">
        <v>23</v>
      </c>
      <c r="D3" s="41">
        <v>1200</v>
      </c>
      <c r="E3" s="1"/>
      <c r="F3" s="87"/>
      <c r="G3" s="43" t="s">
        <v>37</v>
      </c>
      <c r="H3" s="44">
        <v>60</v>
      </c>
      <c r="I3" s="1"/>
      <c r="J3" s="10"/>
      <c r="K3" s="1"/>
      <c r="L3" s="20" t="s">
        <v>20</v>
      </c>
      <c r="M3" s="28">
        <v>2150</v>
      </c>
      <c r="N3" s="29"/>
      <c r="O3" s="29">
        <v>2050</v>
      </c>
      <c r="P3" s="30">
        <v>2150</v>
      </c>
    </row>
    <row r="4" spans="1:16" ht="19.899999999999999" customHeight="1" thickBot="1" x14ac:dyDescent="0.3">
      <c r="A4" s="1"/>
      <c r="B4" s="87"/>
      <c r="C4" s="45" t="s">
        <v>24</v>
      </c>
      <c r="D4" s="46">
        <v>0.2</v>
      </c>
      <c r="E4" s="42" t="s">
        <v>43</v>
      </c>
      <c r="F4" s="87"/>
      <c r="G4" s="47" t="s">
        <v>38</v>
      </c>
      <c r="H4" s="48">
        <f>SUM(H2:H3)*D3</f>
        <v>1370400</v>
      </c>
      <c r="I4" s="1"/>
      <c r="J4" s="10"/>
      <c r="K4" s="1"/>
      <c r="L4" s="21" t="s">
        <v>22</v>
      </c>
      <c r="M4" s="31">
        <v>1200</v>
      </c>
      <c r="N4" s="32">
        <v>1500</v>
      </c>
      <c r="O4" s="32">
        <v>1200</v>
      </c>
      <c r="P4" s="33">
        <v>1200</v>
      </c>
    </row>
    <row r="5" spans="1:16" ht="19.899999999999999" customHeight="1" thickBot="1" x14ac:dyDescent="0.3">
      <c r="A5" s="1"/>
      <c r="B5" s="87"/>
      <c r="C5" s="55" t="s">
        <v>25</v>
      </c>
      <c r="D5" s="53">
        <f>D2*D3*(1-D4)</f>
        <v>2064000</v>
      </c>
      <c r="E5" s="1"/>
      <c r="F5" s="87"/>
      <c r="G5" s="42"/>
      <c r="H5" s="41"/>
      <c r="I5" s="1"/>
      <c r="J5" s="10"/>
      <c r="K5" s="1"/>
      <c r="L5" s="21" t="s">
        <v>24</v>
      </c>
      <c r="M5" s="40">
        <v>0.2</v>
      </c>
      <c r="N5" s="32"/>
      <c r="O5" s="32"/>
      <c r="P5" s="33"/>
    </row>
    <row r="6" spans="1:16" ht="19.899999999999999" customHeight="1" thickTop="1" x14ac:dyDescent="0.25">
      <c r="A6" s="1"/>
      <c r="B6" s="1"/>
      <c r="C6" s="1"/>
      <c r="D6" s="1"/>
      <c r="E6" s="1"/>
      <c r="F6" s="87"/>
      <c r="G6" s="42" t="s">
        <v>31</v>
      </c>
      <c r="H6" s="41">
        <v>27600</v>
      </c>
      <c r="I6" s="1"/>
      <c r="J6" s="10"/>
      <c r="K6" s="1"/>
      <c r="L6" s="21" t="s">
        <v>27</v>
      </c>
      <c r="M6" s="31">
        <v>1082</v>
      </c>
      <c r="N6" s="32"/>
      <c r="O6" s="32"/>
      <c r="P6" s="33"/>
    </row>
    <row r="7" spans="1:16" ht="19.899999999999999" customHeight="1" x14ac:dyDescent="0.25">
      <c r="A7" s="1"/>
      <c r="B7" s="1"/>
      <c r="C7" s="1"/>
      <c r="D7" s="1"/>
      <c r="E7" s="1"/>
      <c r="F7" s="87"/>
      <c r="G7" s="42" t="s">
        <v>33</v>
      </c>
      <c r="H7" s="41">
        <v>215000</v>
      </c>
      <c r="I7" s="1"/>
      <c r="J7" s="10"/>
      <c r="K7" s="1"/>
      <c r="L7" s="21" t="s">
        <v>29</v>
      </c>
      <c r="M7" s="31">
        <v>65</v>
      </c>
      <c r="N7" s="32"/>
      <c r="O7" s="32">
        <v>58</v>
      </c>
      <c r="P7" s="33">
        <v>60</v>
      </c>
    </row>
    <row r="8" spans="1:16" ht="19.899999999999999" customHeight="1" x14ac:dyDescent="0.25">
      <c r="A8" s="1"/>
      <c r="B8" s="1"/>
      <c r="C8" s="1"/>
      <c r="D8" s="1"/>
      <c r="E8" s="1"/>
      <c r="F8" s="87"/>
      <c r="G8" s="42" t="s">
        <v>35</v>
      </c>
      <c r="H8" s="41">
        <v>88000</v>
      </c>
      <c r="I8" s="1"/>
      <c r="J8" s="10"/>
      <c r="K8" s="1"/>
      <c r="L8" s="21" t="s">
        <v>30</v>
      </c>
      <c r="M8" s="31">
        <v>225000</v>
      </c>
      <c r="N8" s="32">
        <v>350000</v>
      </c>
      <c r="O8" s="32">
        <v>280000</v>
      </c>
      <c r="P8" s="33">
        <v>276000</v>
      </c>
    </row>
    <row r="9" spans="1:16" ht="19.899999999999999" customHeight="1" thickBot="1" x14ac:dyDescent="0.3">
      <c r="A9" s="1"/>
      <c r="B9" s="1"/>
      <c r="C9" s="1"/>
      <c r="D9" s="1"/>
      <c r="E9" s="1"/>
      <c r="F9" s="87"/>
      <c r="G9" s="43" t="s">
        <v>39</v>
      </c>
      <c r="H9" s="44">
        <v>65000</v>
      </c>
      <c r="I9" s="1"/>
      <c r="J9" s="10"/>
      <c r="K9" s="1"/>
      <c r="L9" s="21" t="s">
        <v>32</v>
      </c>
      <c r="M9" s="31">
        <v>182000</v>
      </c>
      <c r="N9" s="32">
        <v>225000</v>
      </c>
      <c r="O9" s="32">
        <v>205000</v>
      </c>
      <c r="P9" s="33">
        <v>215000</v>
      </c>
    </row>
    <row r="10" spans="1:16" ht="19.899999999999999" customHeight="1" thickBot="1" x14ac:dyDescent="0.3">
      <c r="A10" s="1"/>
      <c r="B10" s="1"/>
      <c r="C10" s="1"/>
      <c r="D10" s="1"/>
      <c r="E10" s="1"/>
      <c r="F10" s="87"/>
      <c r="G10" s="47" t="s">
        <v>40</v>
      </c>
      <c r="H10" s="48">
        <f>SUM(H6:H9)</f>
        <v>395600</v>
      </c>
      <c r="I10" s="1"/>
      <c r="J10" s="10"/>
      <c r="K10" s="1"/>
      <c r="L10" s="21" t="s">
        <v>34</v>
      </c>
      <c r="M10" s="34">
        <v>85000</v>
      </c>
      <c r="N10" s="35">
        <v>108000</v>
      </c>
      <c r="O10" s="35">
        <v>98000</v>
      </c>
      <c r="P10" s="36">
        <v>88000</v>
      </c>
    </row>
    <row r="11" spans="1:16" ht="18" thickTop="1" thickBot="1" x14ac:dyDescent="0.3">
      <c r="A11" s="1"/>
      <c r="B11" s="1"/>
      <c r="C11" s="1"/>
      <c r="D11" s="1"/>
      <c r="E11" s="1"/>
      <c r="F11" s="1"/>
      <c r="G11" s="42"/>
      <c r="H11" s="41"/>
      <c r="I11" s="1"/>
      <c r="J11" s="10"/>
      <c r="K11" s="1"/>
      <c r="L11" s="22" t="s">
        <v>36</v>
      </c>
      <c r="M11" s="37">
        <v>55000</v>
      </c>
      <c r="N11" s="38">
        <v>75000</v>
      </c>
      <c r="O11" s="38">
        <v>60000</v>
      </c>
      <c r="P11" s="39">
        <v>65000</v>
      </c>
    </row>
    <row r="12" spans="1:16" ht="19.5" thickBot="1" x14ac:dyDescent="0.3">
      <c r="A12" s="1"/>
      <c r="B12" s="1"/>
      <c r="C12" s="56" t="s">
        <v>42</v>
      </c>
      <c r="D12" s="52">
        <f>D5-H12</f>
        <v>298000</v>
      </c>
      <c r="E12" s="1"/>
      <c r="F12" s="1"/>
      <c r="G12" s="57" t="s">
        <v>41</v>
      </c>
      <c r="H12" s="54">
        <f>SUM(H4,H10)</f>
        <v>1766000</v>
      </c>
      <c r="I12" s="1"/>
      <c r="J12" s="10"/>
      <c r="K12" s="1"/>
      <c r="L12" s="1"/>
      <c r="M12" s="1"/>
      <c r="N12" s="1"/>
      <c r="O12" s="1"/>
      <c r="P12" s="1"/>
    </row>
    <row r="13" spans="1:16" ht="17.25" thickTop="1" x14ac:dyDescent="0.25">
      <c r="J13" s="27"/>
    </row>
  </sheetData>
  <scenarios current="0">
    <scenario name="原始資料" locked="1" count="9" user="LindaWu" comment="建立者 Windows 使用者 於 2012/1/4_x000a_修改者 LindaWu 於 2013/8/20_x000a_修改者 LindaWu 於 2013/10/26_x000a_修改者 LindaWu 於 2013/11/1">
      <inputCells r="D2" val="2150" numFmtId="184"/>
      <inputCells r="D3" val="1200" numFmtId="184"/>
      <inputCells r="D4" val="0.2" numFmtId="9"/>
      <inputCells r="H2" val="1082" numFmtId="184"/>
      <inputCells r="H3" val="65" numFmtId="184"/>
      <inputCells r="H6" val="225000" numFmtId="184"/>
      <inputCells r="H7" val="182000" numFmtId="184"/>
      <inputCells r="H8" val="85000" numFmtId="184"/>
      <inputCells r="H9" val="55000" numFmtId="184"/>
    </scenario>
    <scenario name="提案一" locked="1" count="5" user="LindaWu" comment="建立者 Windows 使用者 於 2012/1/4_x000a_修改者 LindaWu 於 2013/8/20">
      <inputCells r="D3" val="1500" numFmtId="184"/>
      <inputCells r="H6" val="350000" numFmtId="184"/>
      <inputCells r="H7" val="225000" numFmtId="184"/>
      <inputCells r="H8" val="108000" numFmtId="184"/>
      <inputCells r="H9" val="75000" numFmtId="184"/>
    </scenario>
    <scenario name="提案二" locked="1" count="7" user="LindaWu" comment="建立者 Windows 使用者 於 2012/1/4_x000a_修改者 LindaWu 於 2013/8/20">
      <inputCells r="D2" val="2050" numFmtId="184"/>
      <inputCells r="D3" val="1200" numFmtId="184"/>
      <inputCells r="H3" val="58" numFmtId="184"/>
      <inputCells r="H6" val="280000" numFmtId="184"/>
      <inputCells r="H7" val="205000" numFmtId="184"/>
      <inputCells r="H8" val="98000" numFmtId="184"/>
      <inputCells r="H9" val="60000" numFmtId="184"/>
    </scenario>
    <scenario name="提案三" locked="1" count="7" user="LindaWu" comment="建立者 Windows 使用者 於 2012/1/4_x000a_修改者 LindaWu 於 2013/8/20">
      <inputCells r="D2" val="2150" numFmtId="184"/>
      <inputCells r="D3" val="1200" numFmtId="184"/>
      <inputCells r="H3" val="60" numFmtId="184"/>
      <inputCells r="H6" val="276000" numFmtId="184"/>
      <inputCells r="H7" val="215000" numFmtId="184"/>
      <inputCells r="H8" val="88000" numFmtId="184"/>
      <inputCells r="H9" val="65000" numFmtId="184"/>
    </scenario>
  </scenarios>
  <mergeCells count="2">
    <mergeCell ref="F2:F10"/>
    <mergeCell ref="B2:B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autoPageBreaks="0"/>
  </sheetPr>
  <dimension ref="A1:O13"/>
  <sheetViews>
    <sheetView workbookViewId="0"/>
  </sheetViews>
  <sheetFormatPr defaultRowHeight="16.5" x14ac:dyDescent="0.25"/>
  <cols>
    <col min="1" max="1" width="2.75" customWidth="1"/>
    <col min="2" max="2" width="3.75" customWidth="1"/>
    <col min="3" max="3" width="8.75" customWidth="1"/>
    <col min="4" max="4" width="10.875" customWidth="1"/>
    <col min="5" max="5" width="10.75" customWidth="1"/>
    <col min="6" max="6" width="3.75" customWidth="1"/>
    <col min="7" max="7" width="17.25" customWidth="1"/>
    <col min="8" max="8" width="9.75" customWidth="1"/>
    <col min="9" max="9" width="2.75" customWidth="1"/>
    <col min="10" max="10" width="0.5" customWidth="1"/>
    <col min="11" max="11" width="2.75" customWidth="1"/>
    <col min="12" max="12" width="20.25" bestFit="1" customWidth="1"/>
    <col min="13" max="15" width="9.75" customWidth="1"/>
  </cols>
  <sheetData>
    <row r="1" spans="1:15" ht="17.25" thickBot="1" x14ac:dyDescent="0.3">
      <c r="A1" s="1"/>
      <c r="B1" s="1"/>
      <c r="C1" s="1"/>
      <c r="D1" s="1"/>
      <c r="E1" s="1"/>
      <c r="F1" s="1"/>
      <c r="G1" s="1"/>
      <c r="H1" s="1"/>
      <c r="I1" s="1"/>
      <c r="J1" s="10"/>
      <c r="K1" s="1"/>
      <c r="L1" s="1"/>
      <c r="M1" s="1"/>
      <c r="N1" s="1"/>
      <c r="O1" s="1"/>
    </row>
    <row r="2" spans="1:15" ht="19.899999999999999" customHeight="1" thickBot="1" x14ac:dyDescent="0.3">
      <c r="A2" s="1"/>
      <c r="B2" s="87" t="s">
        <v>0</v>
      </c>
      <c r="C2" s="1" t="s">
        <v>21</v>
      </c>
      <c r="D2" s="41">
        <v>2050</v>
      </c>
      <c r="E2" s="1"/>
      <c r="F2" s="87" t="s">
        <v>26</v>
      </c>
      <c r="G2" s="42" t="s">
        <v>28</v>
      </c>
      <c r="H2" s="41">
        <v>1082</v>
      </c>
      <c r="I2" s="1"/>
      <c r="J2" s="10"/>
      <c r="K2" s="1"/>
      <c r="L2" s="25"/>
      <c r="M2" s="59" t="s">
        <v>53</v>
      </c>
      <c r="N2" s="59" t="s">
        <v>54</v>
      </c>
      <c r="O2" s="60" t="s">
        <v>55</v>
      </c>
    </row>
    <row r="3" spans="1:15" ht="19.899999999999999" customHeight="1" thickBot="1" x14ac:dyDescent="0.3">
      <c r="A3" s="1"/>
      <c r="B3" s="87"/>
      <c r="C3" s="1" t="s">
        <v>23</v>
      </c>
      <c r="D3" s="41">
        <v>1350</v>
      </c>
      <c r="E3" s="1"/>
      <c r="F3" s="87"/>
      <c r="G3" s="43" t="s">
        <v>37</v>
      </c>
      <c r="H3" s="44">
        <v>70</v>
      </c>
      <c r="I3" s="1"/>
      <c r="J3" s="10"/>
      <c r="K3" s="1"/>
      <c r="L3" s="20" t="s">
        <v>20</v>
      </c>
      <c r="M3" s="29"/>
      <c r="N3" s="29">
        <v>2050</v>
      </c>
      <c r="O3" s="30">
        <v>2000</v>
      </c>
    </row>
    <row r="4" spans="1:15" ht="19.899999999999999" customHeight="1" thickBot="1" x14ac:dyDescent="0.3">
      <c r="A4" s="1"/>
      <c r="B4" s="87"/>
      <c r="C4" s="45" t="s">
        <v>24</v>
      </c>
      <c r="D4" s="46">
        <v>0.2</v>
      </c>
      <c r="E4" s="42" t="s">
        <v>43</v>
      </c>
      <c r="F4" s="87"/>
      <c r="G4" s="47" t="s">
        <v>38</v>
      </c>
      <c r="H4" s="48">
        <f>SUM(H2:H3)*D3</f>
        <v>1555200</v>
      </c>
      <c r="I4" s="1"/>
      <c r="J4" s="10"/>
      <c r="K4" s="1"/>
      <c r="L4" s="21" t="s">
        <v>22</v>
      </c>
      <c r="M4" s="32">
        <v>1350</v>
      </c>
      <c r="N4" s="32">
        <v>1350</v>
      </c>
      <c r="O4" s="33">
        <v>1400</v>
      </c>
    </row>
    <row r="5" spans="1:15" ht="19.899999999999999" customHeight="1" thickBot="1" x14ac:dyDescent="0.3">
      <c r="A5" s="1"/>
      <c r="B5" s="87"/>
      <c r="C5" s="55" t="s">
        <v>25</v>
      </c>
      <c r="D5" s="53">
        <f>D2*D3*(1-D4)</f>
        <v>2214000</v>
      </c>
      <c r="E5" s="1"/>
      <c r="F5" s="87"/>
      <c r="G5" s="42"/>
      <c r="H5" s="41"/>
      <c r="I5" s="1"/>
      <c r="J5" s="10"/>
      <c r="K5" s="1"/>
      <c r="L5" s="21" t="s">
        <v>24</v>
      </c>
      <c r="M5" s="32"/>
      <c r="N5" s="32"/>
      <c r="O5" s="33"/>
    </row>
    <row r="6" spans="1:15" ht="19.899999999999999" customHeight="1" thickTop="1" x14ac:dyDescent="0.25">
      <c r="A6" s="1"/>
      <c r="B6" s="1"/>
      <c r="C6" s="1"/>
      <c r="D6" s="1"/>
      <c r="E6" s="1"/>
      <c r="F6" s="87"/>
      <c r="G6" s="42" t="s">
        <v>31</v>
      </c>
      <c r="H6" s="41">
        <v>355000</v>
      </c>
      <c r="I6" s="1"/>
      <c r="J6" s="10"/>
      <c r="K6" s="1"/>
      <c r="L6" s="21" t="s">
        <v>27</v>
      </c>
      <c r="M6" s="32"/>
      <c r="N6" s="32"/>
      <c r="O6" s="33"/>
    </row>
    <row r="7" spans="1:15" ht="19.899999999999999" customHeight="1" x14ac:dyDescent="0.25">
      <c r="A7" s="1"/>
      <c r="B7" s="1"/>
      <c r="C7" s="1"/>
      <c r="D7" s="1"/>
      <c r="E7" s="1"/>
      <c r="F7" s="87"/>
      <c r="G7" s="42" t="s">
        <v>33</v>
      </c>
      <c r="H7" s="41">
        <v>220000</v>
      </c>
      <c r="I7" s="1"/>
      <c r="J7" s="10"/>
      <c r="K7" s="1"/>
      <c r="L7" s="21" t="s">
        <v>29</v>
      </c>
      <c r="M7" s="32"/>
      <c r="N7" s="32">
        <v>70</v>
      </c>
      <c r="O7" s="33">
        <v>60</v>
      </c>
    </row>
    <row r="8" spans="1:15" ht="19.899999999999999" customHeight="1" x14ac:dyDescent="0.25">
      <c r="A8" s="1"/>
      <c r="B8" s="1"/>
      <c r="C8" s="1"/>
      <c r="D8" s="1"/>
      <c r="E8" s="1"/>
      <c r="F8" s="87"/>
      <c r="G8" s="42" t="s">
        <v>35</v>
      </c>
      <c r="H8" s="41">
        <v>108500</v>
      </c>
      <c r="I8" s="1"/>
      <c r="J8" s="10"/>
      <c r="K8" s="1"/>
      <c r="L8" s="21" t="s">
        <v>30</v>
      </c>
      <c r="M8" s="32">
        <v>255000</v>
      </c>
      <c r="N8" s="32">
        <v>28500</v>
      </c>
      <c r="O8" s="33">
        <v>27650</v>
      </c>
    </row>
    <row r="9" spans="1:15" ht="19.899999999999999" customHeight="1" thickBot="1" x14ac:dyDescent="0.3">
      <c r="A9" s="1"/>
      <c r="B9" s="1"/>
      <c r="C9" s="1"/>
      <c r="D9" s="1"/>
      <c r="E9" s="1"/>
      <c r="F9" s="87"/>
      <c r="G9" s="43" t="s">
        <v>39</v>
      </c>
      <c r="H9" s="44">
        <v>70000</v>
      </c>
      <c r="I9" s="1"/>
      <c r="J9" s="10"/>
      <c r="K9" s="1"/>
      <c r="L9" s="21" t="s">
        <v>32</v>
      </c>
      <c r="M9" s="32">
        <v>220000</v>
      </c>
      <c r="N9" s="32">
        <v>200000</v>
      </c>
      <c r="O9" s="33">
        <v>210000</v>
      </c>
    </row>
    <row r="10" spans="1:15" ht="19.899999999999999" customHeight="1" thickBot="1" x14ac:dyDescent="0.3">
      <c r="A10" s="1"/>
      <c r="B10" s="1"/>
      <c r="C10" s="1"/>
      <c r="D10" s="1"/>
      <c r="E10" s="1"/>
      <c r="F10" s="87"/>
      <c r="G10" s="47" t="s">
        <v>40</v>
      </c>
      <c r="H10" s="48">
        <f>SUM(H6:H9)</f>
        <v>753500</v>
      </c>
      <c r="I10" s="1"/>
      <c r="J10" s="10"/>
      <c r="K10" s="1"/>
      <c r="L10" s="21" t="s">
        <v>34</v>
      </c>
      <c r="M10" s="35">
        <v>108500</v>
      </c>
      <c r="N10" s="35">
        <v>98500</v>
      </c>
      <c r="O10" s="36">
        <v>88500</v>
      </c>
    </row>
    <row r="11" spans="1:15" ht="18" thickTop="1" thickBot="1" x14ac:dyDescent="0.3">
      <c r="A11" s="1"/>
      <c r="B11" s="1"/>
      <c r="C11" s="1"/>
      <c r="D11" s="1"/>
      <c r="E11" s="1"/>
      <c r="F11" s="1"/>
      <c r="G11" s="42"/>
      <c r="H11" s="41"/>
      <c r="I11" s="1"/>
      <c r="J11" s="10"/>
      <c r="K11" s="1"/>
      <c r="L11" s="22" t="s">
        <v>36</v>
      </c>
      <c r="M11" s="38">
        <v>70000</v>
      </c>
      <c r="N11" s="38">
        <v>65000</v>
      </c>
      <c r="O11" s="39">
        <v>60000</v>
      </c>
    </row>
    <row r="12" spans="1:15" ht="19.5" thickBot="1" x14ac:dyDescent="0.3">
      <c r="A12" s="1"/>
      <c r="B12" s="1"/>
      <c r="C12" s="56" t="s">
        <v>42</v>
      </c>
      <c r="D12" s="52">
        <f>D5-H12</f>
        <v>-94700</v>
      </c>
      <c r="E12" s="1"/>
      <c r="F12" s="1"/>
      <c r="G12" s="57" t="s">
        <v>12</v>
      </c>
      <c r="H12" s="54">
        <f>SUM(H4,H10)</f>
        <v>2308700</v>
      </c>
      <c r="I12" s="1"/>
      <c r="J12" s="10"/>
      <c r="K12" s="1"/>
      <c r="L12" s="1"/>
      <c r="M12" s="1"/>
      <c r="N12" s="1"/>
      <c r="O12" s="1"/>
    </row>
    <row r="13" spans="1:15" ht="17.25" thickTop="1" x14ac:dyDescent="0.25">
      <c r="J13" s="27"/>
    </row>
  </sheetData>
  <scenarios current="2" show="0">
    <scenario name="提案A" locked="1" count="5" user="Windows 使用者" comment="建立者 Windows 使用者 於 2012/1/4_x000a_修改者 Windows 使用者 於 2012/1/4">
      <inputCells r="D3" val="1350" numFmtId="184"/>
      <inputCells r="H6" val="355000" numFmtId="184"/>
      <inputCells r="H7" val="220000" numFmtId="184"/>
      <inputCells r="H8" val="108500" numFmtId="184"/>
      <inputCells r="H9" val="70000" numFmtId="184"/>
    </scenario>
    <scenario name="提案B" locked="1" count="7" user="Windows 使用者" comment="建立者 Windows 使用者 於 2012/1/4_x000a_修改者 Windows 使用者 於 2012/1/4">
      <inputCells r="D2" val="2050" numFmtId="184"/>
      <inputCells r="D3" val="1350" numFmtId="184"/>
      <inputCells r="H3" val="70" numFmtId="184"/>
      <inputCells r="H6" val="285000" numFmtId="184"/>
      <inputCells r="H7" val="200000" numFmtId="184"/>
      <inputCells r="H8" val="98500" numFmtId="184"/>
      <inputCells r="H9" val="65000" numFmtId="184"/>
    </scenario>
    <scenario name="提案C" locked="1" count="7" user="Windows 使用者" comment="建立者 Windows 使用者 於 2012/1/4_x000a_修改者 Windows 使用者 於 2012/1/4">
      <inputCells r="D2" val="2000" numFmtId="184"/>
      <inputCells r="D3" val="1400" numFmtId="184"/>
      <inputCells r="H3" val="60" numFmtId="184"/>
      <inputCells r="H6" val="27650" numFmtId="184"/>
      <inputCells r="H7" val="210000" numFmtId="184"/>
      <inputCells r="H8" val="88500" numFmtId="184"/>
      <inputCells r="H9" val="60000" numFmtId="184"/>
    </scenario>
  </scenarios>
  <mergeCells count="2">
    <mergeCell ref="B2:B5"/>
    <mergeCell ref="F2:F10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autoPageBreaks="0"/>
  </sheetPr>
  <dimension ref="A1:N13"/>
  <sheetViews>
    <sheetView workbookViewId="0">
      <selection activeCell="L28" sqref="L28"/>
    </sheetView>
  </sheetViews>
  <sheetFormatPr defaultRowHeight="16.5" x14ac:dyDescent="0.25"/>
  <cols>
    <col min="1" max="1" width="2.75" customWidth="1"/>
    <col min="2" max="2" width="3.75" customWidth="1"/>
    <col min="3" max="3" width="8.75" customWidth="1"/>
    <col min="4" max="4" width="10.875" customWidth="1"/>
    <col min="5" max="5" width="10.75" customWidth="1"/>
    <col min="6" max="6" width="3.75" customWidth="1"/>
    <col min="7" max="7" width="17.25" customWidth="1"/>
    <col min="8" max="8" width="9.75" customWidth="1"/>
    <col min="9" max="9" width="2.75" customWidth="1"/>
    <col min="10" max="10" width="0.5" customWidth="1"/>
    <col min="11" max="11" width="2.75" customWidth="1"/>
    <col min="12" max="12" width="20.25" bestFit="1" customWidth="1"/>
    <col min="13" max="14" width="9.75" customWidth="1"/>
  </cols>
  <sheetData>
    <row r="1" spans="1:14" ht="17.25" thickBot="1" x14ac:dyDescent="0.3">
      <c r="A1" s="1"/>
      <c r="B1" s="1"/>
      <c r="C1" s="1"/>
      <c r="D1" s="1"/>
      <c r="E1" s="1"/>
      <c r="F1" s="1"/>
      <c r="G1" s="1"/>
      <c r="H1" s="1"/>
      <c r="I1" s="1"/>
      <c r="J1" s="10"/>
      <c r="K1" s="1"/>
      <c r="L1" s="1"/>
      <c r="M1" s="1"/>
      <c r="N1" s="1"/>
    </row>
    <row r="2" spans="1:14" ht="19.899999999999999" customHeight="1" thickBot="1" x14ac:dyDescent="0.3">
      <c r="A2" s="1"/>
      <c r="B2" s="87" t="s">
        <v>0</v>
      </c>
      <c r="C2" s="1" t="s">
        <v>21</v>
      </c>
      <c r="D2" s="41">
        <v>2300</v>
      </c>
      <c r="E2" s="1"/>
      <c r="F2" s="87" t="s">
        <v>26</v>
      </c>
      <c r="G2" s="42" t="s">
        <v>28</v>
      </c>
      <c r="H2" s="41">
        <v>1082</v>
      </c>
      <c r="I2" s="1"/>
      <c r="J2" s="10"/>
      <c r="K2" s="1"/>
      <c r="L2" s="25"/>
      <c r="M2" s="59" t="s">
        <v>51</v>
      </c>
      <c r="N2" s="60" t="s">
        <v>52</v>
      </c>
    </row>
    <row r="3" spans="1:14" ht="19.899999999999999" customHeight="1" thickBot="1" x14ac:dyDescent="0.3">
      <c r="A3" s="1"/>
      <c r="B3" s="87"/>
      <c r="C3" s="1" t="s">
        <v>23</v>
      </c>
      <c r="D3" s="41">
        <v>1800</v>
      </c>
      <c r="E3" s="1"/>
      <c r="F3" s="87"/>
      <c r="G3" s="43" t="s">
        <v>37</v>
      </c>
      <c r="H3" s="44">
        <v>58</v>
      </c>
      <c r="I3" s="1"/>
      <c r="J3" s="10"/>
      <c r="K3" s="1"/>
      <c r="L3" s="20" t="s">
        <v>20</v>
      </c>
      <c r="M3" s="29"/>
      <c r="N3" s="30">
        <v>2300</v>
      </c>
    </row>
    <row r="4" spans="1:14" ht="19.899999999999999" customHeight="1" thickBot="1" x14ac:dyDescent="0.3">
      <c r="A4" s="1"/>
      <c r="B4" s="87"/>
      <c r="C4" s="45" t="s">
        <v>24</v>
      </c>
      <c r="D4" s="46">
        <v>0.2</v>
      </c>
      <c r="E4" s="42" t="s">
        <v>43</v>
      </c>
      <c r="F4" s="87"/>
      <c r="G4" s="47" t="s">
        <v>38</v>
      </c>
      <c r="H4" s="48">
        <f>SUM(H2:H3)*D3</f>
        <v>2052000</v>
      </c>
      <c r="I4" s="1"/>
      <c r="J4" s="10"/>
      <c r="K4" s="1"/>
      <c r="L4" s="21" t="s">
        <v>22</v>
      </c>
      <c r="M4" s="32">
        <v>1800</v>
      </c>
      <c r="N4" s="33">
        <v>1500</v>
      </c>
    </row>
    <row r="5" spans="1:14" ht="19.899999999999999" customHeight="1" thickBot="1" x14ac:dyDescent="0.3">
      <c r="A5" s="1"/>
      <c r="B5" s="87"/>
      <c r="C5" s="55" t="s">
        <v>25</v>
      </c>
      <c r="D5" s="53">
        <f>D2*D3*(1-D4)</f>
        <v>3312000</v>
      </c>
      <c r="E5" s="1"/>
      <c r="F5" s="87"/>
      <c r="G5" s="42"/>
      <c r="H5" s="41"/>
      <c r="I5" s="1"/>
      <c r="J5" s="10"/>
      <c r="K5" s="1"/>
      <c r="L5" s="21" t="s">
        <v>24</v>
      </c>
      <c r="M5" s="32"/>
      <c r="N5" s="33"/>
    </row>
    <row r="6" spans="1:14" ht="19.899999999999999" customHeight="1" thickTop="1" x14ac:dyDescent="0.25">
      <c r="A6" s="1"/>
      <c r="B6" s="1"/>
      <c r="C6" s="1"/>
      <c r="D6" s="1"/>
      <c r="E6" s="1"/>
      <c r="F6" s="87"/>
      <c r="G6" s="42" t="s">
        <v>31</v>
      </c>
      <c r="H6" s="41">
        <v>355000</v>
      </c>
      <c r="I6" s="1"/>
      <c r="J6" s="10"/>
      <c r="K6" s="1"/>
      <c r="L6" s="21" t="s">
        <v>27</v>
      </c>
      <c r="M6" s="32"/>
      <c r="N6" s="33"/>
    </row>
    <row r="7" spans="1:14" ht="19.899999999999999" customHeight="1" x14ac:dyDescent="0.25">
      <c r="A7" s="1"/>
      <c r="B7" s="1"/>
      <c r="C7" s="1"/>
      <c r="D7" s="1"/>
      <c r="E7" s="1"/>
      <c r="F7" s="87"/>
      <c r="G7" s="42" t="s">
        <v>33</v>
      </c>
      <c r="H7" s="41">
        <v>225500</v>
      </c>
      <c r="I7" s="1"/>
      <c r="J7" s="10"/>
      <c r="K7" s="1"/>
      <c r="L7" s="21" t="s">
        <v>29</v>
      </c>
      <c r="M7" s="32"/>
      <c r="N7" s="33">
        <v>58</v>
      </c>
    </row>
    <row r="8" spans="1:14" ht="19.899999999999999" customHeight="1" x14ac:dyDescent="0.25">
      <c r="A8" s="1"/>
      <c r="B8" s="1"/>
      <c r="C8" s="1"/>
      <c r="D8" s="1"/>
      <c r="E8" s="1"/>
      <c r="F8" s="87"/>
      <c r="G8" s="42" t="s">
        <v>35</v>
      </c>
      <c r="H8" s="41">
        <v>108500</v>
      </c>
      <c r="I8" s="1"/>
      <c r="J8" s="10"/>
      <c r="K8" s="1"/>
      <c r="L8" s="21" t="s">
        <v>30</v>
      </c>
      <c r="M8" s="32">
        <v>355000</v>
      </c>
      <c r="N8" s="33">
        <v>281000</v>
      </c>
    </row>
    <row r="9" spans="1:14" ht="19.899999999999999" customHeight="1" thickBot="1" x14ac:dyDescent="0.3">
      <c r="A9" s="1"/>
      <c r="B9" s="1"/>
      <c r="C9" s="1"/>
      <c r="D9" s="1"/>
      <c r="E9" s="1"/>
      <c r="F9" s="87"/>
      <c r="G9" s="43" t="s">
        <v>39</v>
      </c>
      <c r="H9" s="44">
        <v>75500</v>
      </c>
      <c r="I9" s="1"/>
      <c r="J9" s="10"/>
      <c r="K9" s="1"/>
      <c r="L9" s="21" t="s">
        <v>32</v>
      </c>
      <c r="M9" s="32">
        <v>225500</v>
      </c>
      <c r="N9" s="33">
        <v>205100</v>
      </c>
    </row>
    <row r="10" spans="1:14" ht="19.899999999999999" customHeight="1" thickBot="1" x14ac:dyDescent="0.3">
      <c r="A10" s="1"/>
      <c r="B10" s="1"/>
      <c r="C10" s="1"/>
      <c r="D10" s="1"/>
      <c r="E10" s="1"/>
      <c r="F10" s="87"/>
      <c r="G10" s="47" t="s">
        <v>40</v>
      </c>
      <c r="H10" s="48">
        <f>SUM(H6:H9)</f>
        <v>764500</v>
      </c>
      <c r="I10" s="1"/>
      <c r="J10" s="10"/>
      <c r="K10" s="1"/>
      <c r="L10" s="21" t="s">
        <v>34</v>
      </c>
      <c r="M10" s="35">
        <v>108500</v>
      </c>
      <c r="N10" s="36">
        <v>98100</v>
      </c>
    </row>
    <row r="11" spans="1:14" ht="18" thickTop="1" thickBot="1" x14ac:dyDescent="0.3">
      <c r="A11" s="1"/>
      <c r="B11" s="1"/>
      <c r="C11" s="1"/>
      <c r="D11" s="1"/>
      <c r="E11" s="1"/>
      <c r="F11" s="1"/>
      <c r="G11" s="42"/>
      <c r="H11" s="41"/>
      <c r="I11" s="1"/>
      <c r="J11" s="10"/>
      <c r="K11" s="1"/>
      <c r="L11" s="22" t="s">
        <v>36</v>
      </c>
      <c r="M11" s="38">
        <v>75500</v>
      </c>
      <c r="N11" s="39">
        <v>61000</v>
      </c>
    </row>
    <row r="12" spans="1:14" ht="19.5" thickBot="1" x14ac:dyDescent="0.3">
      <c r="A12" s="1"/>
      <c r="B12" s="1"/>
      <c r="C12" s="56" t="s">
        <v>42</v>
      </c>
      <c r="D12" s="52">
        <f>D5-H12</f>
        <v>495500</v>
      </c>
      <c r="E12" s="1"/>
      <c r="F12" s="1"/>
      <c r="G12" s="57" t="s">
        <v>50</v>
      </c>
      <c r="H12" s="54">
        <f>SUM(H4,H10)</f>
        <v>2816500</v>
      </c>
      <c r="I12" s="1"/>
      <c r="J12" s="10"/>
      <c r="K12" s="1"/>
      <c r="L12" s="1"/>
      <c r="M12" s="1"/>
      <c r="N12" s="1"/>
    </row>
    <row r="13" spans="1:14" ht="17.25" thickTop="1" x14ac:dyDescent="0.25">
      <c r="J13" s="27"/>
    </row>
  </sheetData>
  <scenarios current="1" show="0">
    <scenario name="提案A" locked="1" count="5" user="LindaWu" comment="建立者 Windows 使用者 於 2012/1/4_x000a_修改者 Windows 使用者 於 2012/1/4_x000a_修改者 LindaWu 於 2013/8/20">
      <inputCells r="D3" val="1800" numFmtId="184"/>
      <inputCells r="H6" val="355000" numFmtId="184"/>
      <inputCells r="H7" val="225500" numFmtId="184"/>
      <inputCells r="H8" val="108500" numFmtId="184"/>
      <inputCells r="H9" val="75500" numFmtId="184"/>
    </scenario>
    <scenario name="提案Y" locked="1" count="7" user="LindaWu" comment="建立者 Windows 使用者 於 2012/1/4_x000a_修改者 Windows 使用者 於 2012/1/4_x000a_修改者 LindaWu 於 2013/8/20">
      <inputCells r="D2" val="2300" numFmtId="184"/>
      <inputCells r="D3" val="1500" numFmtId="184"/>
      <inputCells r="H3" val="58" numFmtId="184"/>
      <inputCells r="H6" val="281000" numFmtId="184"/>
      <inputCells r="H7" val="205100" numFmtId="184"/>
      <inputCells r="H8" val="98100" numFmtId="184"/>
      <inputCells r="H9" val="61000" numFmtId="184"/>
    </scenario>
  </scenarios>
  <mergeCells count="2">
    <mergeCell ref="B2:B5"/>
    <mergeCell ref="F2:F1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pageSetUpPr autoPageBreaks="0"/>
  </sheetPr>
  <dimension ref="A1:L13"/>
  <sheetViews>
    <sheetView tabSelected="1" zoomScale="140" zoomScaleNormal="140" workbookViewId="0">
      <selection activeCell="D12" sqref="D12"/>
    </sheetView>
  </sheetViews>
  <sheetFormatPr defaultRowHeight="16.5" x14ac:dyDescent="0.25"/>
  <cols>
    <col min="1" max="1" width="2.75" customWidth="1"/>
    <col min="2" max="2" width="3.75" customWidth="1"/>
    <col min="3" max="3" width="8.75" customWidth="1"/>
    <col min="4" max="4" width="10.875" customWidth="1"/>
    <col min="5" max="5" width="10.75" customWidth="1"/>
    <col min="6" max="6" width="3.75" customWidth="1"/>
    <col min="7" max="7" width="17.25" customWidth="1"/>
    <col min="8" max="8" width="9.75" customWidth="1"/>
    <col min="9" max="9" width="2.75" customWidth="1"/>
    <col min="10" max="12" width="9.75" customWidth="1"/>
  </cols>
  <sheetData>
    <row r="1" spans="1:12" ht="17.25" thickBot="1" x14ac:dyDescent="0.3">
      <c r="A1" s="1"/>
      <c r="B1" s="1"/>
      <c r="C1" s="1"/>
      <c r="D1" s="1"/>
      <c r="E1" s="1"/>
      <c r="F1" s="1"/>
      <c r="G1" s="1"/>
      <c r="H1" s="1"/>
    </row>
    <row r="2" spans="1:12" ht="19.899999999999999" customHeight="1" thickBot="1" x14ac:dyDescent="0.3">
      <c r="A2" s="1"/>
      <c r="B2" s="87" t="s">
        <v>0</v>
      </c>
      <c r="C2" s="1" t="s">
        <v>21</v>
      </c>
      <c r="D2" s="41">
        <v>2150</v>
      </c>
      <c r="E2" s="1"/>
      <c r="F2" s="87" t="s">
        <v>26</v>
      </c>
      <c r="G2" s="42" t="s">
        <v>28</v>
      </c>
      <c r="H2" s="41">
        <v>1082</v>
      </c>
      <c r="J2" s="49" t="s">
        <v>47</v>
      </c>
      <c r="K2" s="23" t="s">
        <v>48</v>
      </c>
      <c r="L2" s="24" t="s">
        <v>49</v>
      </c>
    </row>
    <row r="3" spans="1:12" ht="19.899999999999999" customHeight="1" thickBot="1" x14ac:dyDescent="0.3">
      <c r="A3" s="1"/>
      <c r="B3" s="87"/>
      <c r="C3" s="1" t="s">
        <v>23</v>
      </c>
      <c r="D3" s="41">
        <v>1200</v>
      </c>
      <c r="E3" s="1"/>
      <c r="F3" s="87"/>
      <c r="G3" s="43" t="s">
        <v>37</v>
      </c>
      <c r="H3" s="44">
        <v>65</v>
      </c>
    </row>
    <row r="4" spans="1:12" ht="19.899999999999999" customHeight="1" thickBot="1" x14ac:dyDescent="0.3">
      <c r="A4" s="1"/>
      <c r="B4" s="87"/>
      <c r="C4" s="45" t="s">
        <v>24</v>
      </c>
      <c r="D4" s="46">
        <v>0.2</v>
      </c>
      <c r="E4" s="42" t="s">
        <v>43</v>
      </c>
      <c r="F4" s="87"/>
      <c r="G4" s="47" t="s">
        <v>38</v>
      </c>
      <c r="H4" s="48">
        <f>SUM(H2:H3)*D3</f>
        <v>1376400</v>
      </c>
    </row>
    <row r="5" spans="1:12" ht="19.899999999999999" customHeight="1" thickBot="1" x14ac:dyDescent="0.3">
      <c r="A5" s="1"/>
      <c r="B5" s="87"/>
      <c r="C5" s="50" t="s">
        <v>25</v>
      </c>
      <c r="D5" s="53">
        <f>D2*D3*(1-D4)</f>
        <v>2064000</v>
      </c>
      <c r="E5" s="1"/>
      <c r="F5" s="87"/>
      <c r="G5" s="42"/>
      <c r="H5" s="41"/>
    </row>
    <row r="6" spans="1:12" ht="19.899999999999999" customHeight="1" thickTop="1" x14ac:dyDescent="0.25">
      <c r="A6" s="1"/>
      <c r="B6" s="1"/>
      <c r="C6" s="1"/>
      <c r="D6" s="1"/>
      <c r="E6" s="1"/>
      <c r="F6" s="87"/>
      <c r="G6" s="42" t="s">
        <v>31</v>
      </c>
      <c r="H6" s="41">
        <v>225000</v>
      </c>
    </row>
    <row r="7" spans="1:12" ht="19.899999999999999" customHeight="1" x14ac:dyDescent="0.25">
      <c r="A7" s="1"/>
      <c r="B7" s="1"/>
      <c r="C7" s="1"/>
      <c r="D7" s="1"/>
      <c r="E7" s="1"/>
      <c r="F7" s="87"/>
      <c r="G7" s="42" t="s">
        <v>33</v>
      </c>
      <c r="H7" s="41">
        <v>182000</v>
      </c>
    </row>
    <row r="8" spans="1:12" ht="19.899999999999999" customHeight="1" x14ac:dyDescent="0.25">
      <c r="A8" s="1"/>
      <c r="B8" s="1"/>
      <c r="C8" s="1"/>
      <c r="D8" s="1"/>
      <c r="E8" s="1"/>
      <c r="F8" s="87"/>
      <c r="G8" s="42" t="s">
        <v>35</v>
      </c>
      <c r="H8" s="41">
        <v>85000</v>
      </c>
    </row>
    <row r="9" spans="1:12" ht="19.899999999999999" customHeight="1" thickBot="1" x14ac:dyDescent="0.3">
      <c r="A9" s="1"/>
      <c r="B9" s="1"/>
      <c r="C9" s="1"/>
      <c r="D9" s="1"/>
      <c r="E9" s="1"/>
      <c r="F9" s="87"/>
      <c r="G9" s="43" t="s">
        <v>39</v>
      </c>
      <c r="H9" s="44">
        <v>55000</v>
      </c>
    </row>
    <row r="10" spans="1:12" ht="19.899999999999999" customHeight="1" thickBot="1" x14ac:dyDescent="0.3">
      <c r="A10" s="1"/>
      <c r="B10" s="1"/>
      <c r="C10" s="1"/>
      <c r="D10" s="1"/>
      <c r="E10" s="1"/>
      <c r="F10" s="87"/>
      <c r="G10" s="47" t="s">
        <v>40</v>
      </c>
      <c r="H10" s="48">
        <f>SUM(H6:H9)</f>
        <v>547000</v>
      </c>
    </row>
    <row r="11" spans="1:12" ht="17.25" thickTop="1" x14ac:dyDescent="0.25">
      <c r="A11" s="1"/>
      <c r="B11" s="1"/>
      <c r="C11" s="1"/>
      <c r="D11" s="1"/>
      <c r="E11" s="1"/>
      <c r="F11" s="1"/>
      <c r="G11" s="42"/>
      <c r="H11" s="41"/>
    </row>
    <row r="12" spans="1:12" ht="19.5" thickBot="1" x14ac:dyDescent="0.3">
      <c r="A12" s="1"/>
      <c r="B12" s="1"/>
      <c r="C12" s="51" t="s">
        <v>42</v>
      </c>
      <c r="D12" s="52">
        <f>D5-H12</f>
        <v>140600</v>
      </c>
      <c r="E12" s="1"/>
      <c r="F12" s="1"/>
      <c r="G12" s="51" t="s">
        <v>12</v>
      </c>
      <c r="H12" s="54">
        <f>SUM(H4,H10)</f>
        <v>1923400</v>
      </c>
    </row>
    <row r="13" spans="1:12" ht="17.25" thickTop="1" x14ac:dyDescent="0.25"/>
  </sheetData>
  <scenarios current="0" show="0" sqref="D5 H12 D12">
    <scenario name="原始資料" locked="1" count="9" user="LindaWu" comment="建立者 Windows 使用者 於 2012/1/4_x000a_修改者 LindaWu 於 2013/8/20_x000a_修改者 LindaWu 於 2013/10/26_x000a_修改者 LindaWu 於 2013/11/1">
      <inputCells r="D2" val="2150" numFmtId="184"/>
      <inputCells r="D3" val="1200" numFmtId="184"/>
      <inputCells r="D4" val="0.2" numFmtId="9"/>
      <inputCells r="H2" val="1082" numFmtId="184"/>
      <inputCells r="H3" val="65" numFmtId="184"/>
      <inputCells r="H6" val="225000" numFmtId="184"/>
      <inputCells r="H7" val="182000" numFmtId="184"/>
      <inputCells r="H8" val="85000" numFmtId="184"/>
      <inputCells r="H9" val="55000" numFmtId="184"/>
    </scenario>
    <scenario name="提案一" locked="1" count="5" user="LindaWu" comment="建立者 Windows 使用者 於 2012/1/4_x000a_修改者 LindaWu 於 2013/8/20">
      <inputCells r="D3" val="1500" numFmtId="184"/>
      <inputCells r="H6" val="350000" numFmtId="184"/>
      <inputCells r="H7" val="225000" numFmtId="184"/>
      <inputCells r="H8" val="108000" numFmtId="184"/>
      <inputCells r="H9" val="75000" numFmtId="184"/>
    </scenario>
    <scenario name="提案二" locked="1" count="7" user="LindaWu" comment="建立者 Windows 使用者 於 2012/1/4_x000a_修改者 LindaWu 於 2013/8/20">
      <inputCells r="D2" val="2050" numFmtId="184"/>
      <inputCells r="D3" val="1200" numFmtId="184"/>
      <inputCells r="H3" val="58" numFmtId="184"/>
      <inputCells r="H6" val="280000" numFmtId="184"/>
      <inputCells r="H7" val="205000" numFmtId="184"/>
      <inputCells r="H8" val="98000" numFmtId="184"/>
      <inputCells r="H9" val="60000" numFmtId="184"/>
    </scenario>
    <scenario name="提案三" locked="1" count="7" user="LindaWu" comment="建立者 Windows 使用者 於 2012/1/4_x000a_修改者 LindaWu 於 2013/8/20">
      <inputCells r="D2" val="2150" numFmtId="184"/>
      <inputCells r="D3" val="1200" numFmtId="184"/>
      <inputCells r="H3" val="60" numFmtId="184"/>
      <inputCells r="H6" val="276000" numFmtId="184"/>
      <inputCells r="H7" val="215000" numFmtId="184"/>
      <inputCells r="H8" val="88000" numFmtId="184"/>
      <inputCells r="H9" val="65000" numFmtId="184"/>
    </scenario>
    <scenario name="提案A" locked="1" count="5" user="Windows 使用者" comment="建立者 Windows 使用者 於 2012/1/4_x000a_修改者 Windows 使用者 於 2012/1/4">
      <inputCells r="D3" val="1350" numFmtId="184"/>
      <inputCells r="H6" val="355000" numFmtId="184"/>
      <inputCells r="H7" val="220000" numFmtId="184"/>
      <inputCells r="H8" val="108500" numFmtId="184"/>
      <inputCells r="H9" val="70000" numFmtId="184"/>
    </scenario>
    <scenario name="提案B" locked="1" count="7" user="Windows 使用者" comment="建立者 Windows 使用者 於 2012/1/4_x000a_修改者 Windows 使用者 於 2012/1/4">
      <inputCells r="D2" val="2050" numFmtId="184"/>
      <inputCells r="D3" val="1350" numFmtId="184"/>
      <inputCells r="H3" val="70" numFmtId="184"/>
      <inputCells r="H6" val="285000" numFmtId="184"/>
      <inputCells r="H7" val="200000" numFmtId="184"/>
      <inputCells r="H8" val="98500" numFmtId="184"/>
      <inputCells r="H9" val="65000" numFmtId="184"/>
    </scenario>
    <scenario name="提案C" locked="1" count="7" user="Windows 使用者" comment="建立者 Windows 使用者 於 2012/1/4_x000a_修改者 Windows 使用者 於 2012/1/4">
      <inputCells r="D2" val="2000" numFmtId="184"/>
      <inputCells r="D3" val="1400" numFmtId="184"/>
      <inputCells r="H3" val="60" numFmtId="184"/>
      <inputCells r="H6" val="27650" numFmtId="184"/>
      <inputCells r="H7" val="210000" numFmtId="184"/>
      <inputCells r="H8" val="88500" numFmtId="184"/>
      <inputCells r="H9" val="60000" numFmtId="184"/>
    </scenario>
    <scenario name="提案AA" locked="1" count="5" user="Windows 使用者" comment="建立者 Windows 使用者 於 2012/1/4_x000a_修改者 Windows 使用者 於 2012/1/4_x000a_修改者 LindaWu 於 2013/8/20_x000a_修改者 Windows 使用者 於 2014/8/12">
      <inputCells r="D3" val="1800" numFmtId="184"/>
      <inputCells r="H6" val="355000" numFmtId="184"/>
      <inputCells r="H7" val="225500" numFmtId="184"/>
      <inputCells r="H8" val="108500" numFmtId="184"/>
      <inputCells r="H9" val="75500" numFmtId="184"/>
    </scenario>
    <scenario name="提案Y" locked="1" count="7" user="LindaWu" comment="建立者 Windows 使用者 於 2012/1/4_x000a_修改者 Windows 使用者 於 2012/1/4_x000a_修改者 LindaWu 於 2013/8/20">
      <inputCells r="D2" val="2300" numFmtId="184"/>
      <inputCells r="D3" val="1500" numFmtId="184"/>
      <inputCells r="H3" val="58" numFmtId="184"/>
      <inputCells r="H6" val="281000" numFmtId="184"/>
      <inputCells r="H7" val="205100" numFmtId="184"/>
      <inputCells r="H8" val="98100" numFmtId="184"/>
      <inputCells r="H9" val="61000" numFmtId="184"/>
    </scenario>
  </scenarios>
  <mergeCells count="2">
    <mergeCell ref="B2:B5"/>
    <mergeCell ref="F2:F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原始資料">
                <anchor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9</xdr:col>
                    <xdr:colOff>733425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提案一">
                <anchor>
                  <from>
                    <xdr:col>9</xdr:col>
                    <xdr:colOff>19050</xdr:colOff>
                    <xdr:row>2</xdr:row>
                    <xdr:rowOff>247650</xdr:rowOff>
                  </from>
                  <to>
                    <xdr:col>9</xdr:col>
                    <xdr:colOff>733425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提案二">
                <anchor>
                  <from>
                    <xdr:col>9</xdr:col>
                    <xdr:colOff>19050</xdr:colOff>
                    <xdr:row>3</xdr:row>
                    <xdr:rowOff>247650</xdr:rowOff>
                  </from>
                  <to>
                    <xdr:col>9</xdr:col>
                    <xdr:colOff>733425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提案三">
                <anchor>
                  <from>
                    <xdr:col>9</xdr:col>
                    <xdr:colOff>19050</xdr:colOff>
                    <xdr:row>4</xdr:row>
                    <xdr:rowOff>247650</xdr:rowOff>
                  </from>
                  <to>
                    <xdr:col>9</xdr:col>
                    <xdr:colOff>733425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提案A">
                <anchor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10</xdr:col>
                    <xdr:colOff>733425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提案B">
                <anchor>
                  <from>
                    <xdr:col>10</xdr:col>
                    <xdr:colOff>19050</xdr:colOff>
                    <xdr:row>2</xdr:row>
                    <xdr:rowOff>247650</xdr:rowOff>
                  </from>
                  <to>
                    <xdr:col>10</xdr:col>
                    <xdr:colOff>733425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提案C">
                <anchor>
                  <from>
                    <xdr:col>10</xdr:col>
                    <xdr:colOff>19050</xdr:colOff>
                    <xdr:row>3</xdr:row>
                    <xdr:rowOff>247650</xdr:rowOff>
                  </from>
                  <to>
                    <xdr:col>10</xdr:col>
                    <xdr:colOff>733425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提案AA">
                <anchor>
                  <from>
                    <xdr:col>11</xdr:col>
                    <xdr:colOff>19050</xdr:colOff>
                    <xdr:row>2</xdr:row>
                    <xdr:rowOff>0</xdr:rowOff>
                  </from>
                  <to>
                    <xdr:col>11</xdr:col>
                    <xdr:colOff>733425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提案Y">
                <anchor>
                  <from>
                    <xdr:col>11</xdr:col>
                    <xdr:colOff>19050</xdr:colOff>
                    <xdr:row>2</xdr:row>
                    <xdr:rowOff>247650</xdr:rowOff>
                  </from>
                  <to>
                    <xdr:col>11</xdr:col>
                    <xdr:colOff>733425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M21"/>
  <sheetViews>
    <sheetView showGridLines="0" workbookViewId="0">
      <selection activeCell="C16" sqref="C16:C18"/>
    </sheetView>
  </sheetViews>
  <sheetFormatPr defaultRowHeight="16.5" outlineLevelRow="1" outlineLevelCol="1" x14ac:dyDescent="0.25"/>
  <cols>
    <col min="1" max="1" width="2.625" customWidth="1"/>
    <col min="3" max="3" width="18.625" bestFit="1" customWidth="1"/>
    <col min="4" max="4" width="11.625" hidden="1" customWidth="1" outlineLevel="1"/>
    <col min="5" max="13" width="11.625" bestFit="1" customWidth="1" outlineLevel="1"/>
  </cols>
  <sheetData>
    <row r="1" spans="2:13" ht="17.25" thickBot="1" x14ac:dyDescent="0.3"/>
    <row r="2" spans="2:13" x14ac:dyDescent="0.25">
      <c r="B2" s="68" t="s">
        <v>64</v>
      </c>
      <c r="C2" s="69"/>
      <c r="D2" s="75"/>
      <c r="E2" s="75"/>
      <c r="F2" s="75"/>
      <c r="G2" s="75"/>
      <c r="H2" s="75"/>
      <c r="I2" s="75"/>
      <c r="J2" s="75"/>
      <c r="K2" s="75"/>
      <c r="L2" s="75"/>
      <c r="M2" s="75"/>
    </row>
    <row r="3" spans="2:13" collapsed="1" x14ac:dyDescent="0.25">
      <c r="B3" s="67"/>
      <c r="C3" s="67"/>
      <c r="D3" s="76" t="s">
        <v>66</v>
      </c>
      <c r="E3" s="76" t="s">
        <v>59</v>
      </c>
      <c r="F3" s="76" t="s">
        <v>82</v>
      </c>
      <c r="G3" s="76" t="s">
        <v>84</v>
      </c>
      <c r="H3" s="76" t="s">
        <v>85</v>
      </c>
      <c r="I3" s="76" t="s">
        <v>86</v>
      </c>
      <c r="J3" s="76" t="s">
        <v>88</v>
      </c>
      <c r="K3" s="76" t="s">
        <v>89</v>
      </c>
      <c r="L3" s="76" t="s">
        <v>90</v>
      </c>
      <c r="M3" s="76" t="s">
        <v>92</v>
      </c>
    </row>
    <row r="4" spans="2:13" ht="213.75" hidden="1" outlineLevel="1" x14ac:dyDescent="0.25">
      <c r="B4" s="71"/>
      <c r="C4" s="71"/>
      <c r="D4" s="64"/>
      <c r="E4" s="78" t="s">
        <v>81</v>
      </c>
      <c r="F4" s="78" t="s">
        <v>83</v>
      </c>
      <c r="G4" s="78" t="s">
        <v>83</v>
      </c>
      <c r="H4" s="78" t="s">
        <v>83</v>
      </c>
      <c r="I4" s="78" t="s">
        <v>87</v>
      </c>
      <c r="J4" s="78" t="s">
        <v>87</v>
      </c>
      <c r="K4" s="78" t="s">
        <v>87</v>
      </c>
      <c r="L4" s="78" t="s">
        <v>91</v>
      </c>
      <c r="M4" s="78" t="s">
        <v>93</v>
      </c>
    </row>
    <row r="5" spans="2:13" x14ac:dyDescent="0.25">
      <c r="B5" s="72" t="s">
        <v>65</v>
      </c>
      <c r="C5" s="73"/>
      <c r="D5" s="70"/>
      <c r="E5" s="70"/>
      <c r="F5" s="70"/>
      <c r="G5" s="70"/>
      <c r="H5" s="70"/>
      <c r="I5" s="70"/>
      <c r="J5" s="70"/>
      <c r="K5" s="70"/>
      <c r="L5" s="70"/>
      <c r="M5" s="70"/>
    </row>
    <row r="6" spans="2:13" outlineLevel="1" x14ac:dyDescent="0.25">
      <c r="B6" s="71"/>
      <c r="C6" s="71" t="s">
        <v>20</v>
      </c>
      <c r="D6" s="79">
        <v>2150</v>
      </c>
      <c r="E6" s="82">
        <v>2150</v>
      </c>
      <c r="F6" s="79">
        <v>2150</v>
      </c>
      <c r="G6" s="82">
        <v>2050</v>
      </c>
      <c r="H6" s="82">
        <v>2150</v>
      </c>
      <c r="I6" s="79">
        <v>2150</v>
      </c>
      <c r="J6" s="82">
        <v>2050</v>
      </c>
      <c r="K6" s="82">
        <v>2000</v>
      </c>
      <c r="L6" s="79">
        <v>2150</v>
      </c>
      <c r="M6" s="82">
        <v>2300</v>
      </c>
    </row>
    <row r="7" spans="2:13" outlineLevel="1" x14ac:dyDescent="0.25">
      <c r="B7" s="71"/>
      <c r="C7" s="71" t="s">
        <v>22</v>
      </c>
      <c r="D7" s="79">
        <v>1200</v>
      </c>
      <c r="E7" s="82">
        <v>1200</v>
      </c>
      <c r="F7" s="82">
        <v>1500</v>
      </c>
      <c r="G7" s="82">
        <v>1200</v>
      </c>
      <c r="H7" s="82">
        <v>1200</v>
      </c>
      <c r="I7" s="82">
        <v>1350</v>
      </c>
      <c r="J7" s="82">
        <v>1350</v>
      </c>
      <c r="K7" s="82">
        <v>1400</v>
      </c>
      <c r="L7" s="82">
        <v>1800</v>
      </c>
      <c r="M7" s="82">
        <v>1500</v>
      </c>
    </row>
    <row r="8" spans="2:13" outlineLevel="1" x14ac:dyDescent="0.25">
      <c r="B8" s="71"/>
      <c r="C8" s="71" t="s">
        <v>71</v>
      </c>
      <c r="D8" s="80">
        <v>0.2</v>
      </c>
      <c r="E8" s="83">
        <v>0.2</v>
      </c>
      <c r="F8" s="80">
        <v>0.2</v>
      </c>
      <c r="G8" s="80">
        <v>0.2</v>
      </c>
      <c r="H8" s="80">
        <v>0.2</v>
      </c>
      <c r="I8" s="80">
        <v>0.2</v>
      </c>
      <c r="J8" s="80">
        <v>0.2</v>
      </c>
      <c r="K8" s="80">
        <v>0.2</v>
      </c>
      <c r="L8" s="80">
        <v>0.2</v>
      </c>
      <c r="M8" s="80">
        <v>0.2</v>
      </c>
    </row>
    <row r="9" spans="2:13" outlineLevel="1" x14ac:dyDescent="0.25">
      <c r="B9" s="71"/>
      <c r="C9" s="71" t="s">
        <v>72</v>
      </c>
      <c r="D9" s="79">
        <v>1082</v>
      </c>
      <c r="E9" s="82">
        <v>1082</v>
      </c>
      <c r="F9" s="79">
        <v>1082</v>
      </c>
      <c r="G9" s="79">
        <v>1082</v>
      </c>
      <c r="H9" s="79">
        <v>1082</v>
      </c>
      <c r="I9" s="79">
        <v>1082</v>
      </c>
      <c r="J9" s="79">
        <v>1082</v>
      </c>
      <c r="K9" s="79">
        <v>1082</v>
      </c>
      <c r="L9" s="79">
        <v>1082</v>
      </c>
      <c r="M9" s="79">
        <v>1082</v>
      </c>
    </row>
    <row r="10" spans="2:13" outlineLevel="1" x14ac:dyDescent="0.25">
      <c r="B10" s="71"/>
      <c r="C10" s="71" t="s">
        <v>73</v>
      </c>
      <c r="D10" s="79">
        <v>65</v>
      </c>
      <c r="E10" s="82">
        <v>65</v>
      </c>
      <c r="F10" s="79">
        <v>65</v>
      </c>
      <c r="G10" s="82">
        <v>58</v>
      </c>
      <c r="H10" s="82">
        <v>60</v>
      </c>
      <c r="I10" s="79">
        <v>65</v>
      </c>
      <c r="J10" s="82">
        <v>70</v>
      </c>
      <c r="K10" s="82">
        <v>60</v>
      </c>
      <c r="L10" s="79">
        <v>65</v>
      </c>
      <c r="M10" s="82">
        <v>58</v>
      </c>
    </row>
    <row r="11" spans="2:13" outlineLevel="1" x14ac:dyDescent="0.25">
      <c r="B11" s="71"/>
      <c r="C11" s="71" t="s">
        <v>74</v>
      </c>
      <c r="D11" s="79">
        <v>225000</v>
      </c>
      <c r="E11" s="82">
        <v>225000</v>
      </c>
      <c r="F11" s="82">
        <v>350000</v>
      </c>
      <c r="G11" s="82">
        <v>280000</v>
      </c>
      <c r="H11" s="82">
        <v>276000</v>
      </c>
      <c r="I11" s="82">
        <v>355000</v>
      </c>
      <c r="J11" s="82">
        <v>285000</v>
      </c>
      <c r="K11" s="82">
        <v>27650</v>
      </c>
      <c r="L11" s="82">
        <v>355000</v>
      </c>
      <c r="M11" s="82">
        <v>281000</v>
      </c>
    </row>
    <row r="12" spans="2:13" outlineLevel="1" x14ac:dyDescent="0.25">
      <c r="B12" s="71"/>
      <c r="C12" s="71" t="s">
        <v>75</v>
      </c>
      <c r="D12" s="79">
        <v>182000</v>
      </c>
      <c r="E12" s="82">
        <v>182000</v>
      </c>
      <c r="F12" s="82">
        <v>225000</v>
      </c>
      <c r="G12" s="82">
        <v>205000</v>
      </c>
      <c r="H12" s="82">
        <v>215000</v>
      </c>
      <c r="I12" s="82">
        <v>220000</v>
      </c>
      <c r="J12" s="82">
        <v>200000</v>
      </c>
      <c r="K12" s="82">
        <v>210000</v>
      </c>
      <c r="L12" s="82">
        <v>225500</v>
      </c>
      <c r="M12" s="82">
        <v>205100</v>
      </c>
    </row>
    <row r="13" spans="2:13" outlineLevel="1" x14ac:dyDescent="0.25">
      <c r="B13" s="71"/>
      <c r="C13" s="71" t="s">
        <v>76</v>
      </c>
      <c r="D13" s="79">
        <v>85000</v>
      </c>
      <c r="E13" s="82">
        <v>85000</v>
      </c>
      <c r="F13" s="82">
        <v>108000</v>
      </c>
      <c r="G13" s="82">
        <v>98000</v>
      </c>
      <c r="H13" s="82">
        <v>88000</v>
      </c>
      <c r="I13" s="82">
        <v>108500</v>
      </c>
      <c r="J13" s="82">
        <v>98500</v>
      </c>
      <c r="K13" s="82">
        <v>88500</v>
      </c>
      <c r="L13" s="82">
        <v>108500</v>
      </c>
      <c r="M13" s="82">
        <v>98100</v>
      </c>
    </row>
    <row r="14" spans="2:13" outlineLevel="1" x14ac:dyDescent="0.25">
      <c r="B14" s="71"/>
      <c r="C14" s="71" t="s">
        <v>77</v>
      </c>
      <c r="D14" s="79">
        <v>55000</v>
      </c>
      <c r="E14" s="82">
        <v>55000</v>
      </c>
      <c r="F14" s="82">
        <v>75000</v>
      </c>
      <c r="G14" s="82">
        <v>60000</v>
      </c>
      <c r="H14" s="82">
        <v>65000</v>
      </c>
      <c r="I14" s="82">
        <v>70000</v>
      </c>
      <c r="J14" s="82">
        <v>65000</v>
      </c>
      <c r="K14" s="82">
        <v>60000</v>
      </c>
      <c r="L14" s="82">
        <v>75500</v>
      </c>
      <c r="M14" s="82">
        <v>61000</v>
      </c>
    </row>
    <row r="15" spans="2:13" x14ac:dyDescent="0.25">
      <c r="B15" s="72" t="s">
        <v>67</v>
      </c>
      <c r="C15" s="73"/>
      <c r="D15" s="70"/>
      <c r="E15" s="70"/>
      <c r="F15" s="70"/>
      <c r="G15" s="70"/>
      <c r="H15" s="70"/>
      <c r="I15" s="70"/>
      <c r="J15" s="70"/>
      <c r="K15" s="70"/>
      <c r="L15" s="70"/>
      <c r="M15" s="70"/>
    </row>
    <row r="16" spans="2:13" outlineLevel="1" x14ac:dyDescent="0.25">
      <c r="B16" s="71"/>
      <c r="C16" s="71" t="s">
        <v>78</v>
      </c>
      <c r="D16" s="79">
        <v>2064000</v>
      </c>
      <c r="E16" s="79">
        <v>2064000</v>
      </c>
      <c r="F16" s="79">
        <v>2580000</v>
      </c>
      <c r="G16" s="79">
        <v>1968000</v>
      </c>
      <c r="H16" s="79">
        <v>2064000</v>
      </c>
      <c r="I16" s="79">
        <v>2322000</v>
      </c>
      <c r="J16" s="79">
        <v>2214000</v>
      </c>
      <c r="K16" s="79">
        <v>2240000</v>
      </c>
      <c r="L16" s="79">
        <v>3096000</v>
      </c>
      <c r="M16" s="79">
        <v>2760000</v>
      </c>
    </row>
    <row r="17" spans="2:13" outlineLevel="1" x14ac:dyDescent="0.25">
      <c r="B17" s="71"/>
      <c r="C17" s="71" t="s">
        <v>79</v>
      </c>
      <c r="D17" s="79">
        <v>1923400</v>
      </c>
      <c r="E17" s="79">
        <v>1923400</v>
      </c>
      <c r="F17" s="79">
        <v>2478500</v>
      </c>
      <c r="G17" s="79">
        <v>2011000</v>
      </c>
      <c r="H17" s="79">
        <v>2014400</v>
      </c>
      <c r="I17" s="79">
        <v>2301950</v>
      </c>
      <c r="J17" s="79">
        <v>2203700</v>
      </c>
      <c r="K17" s="79">
        <v>1984950</v>
      </c>
      <c r="L17" s="79">
        <v>2829100</v>
      </c>
      <c r="M17" s="79">
        <v>2355200</v>
      </c>
    </row>
    <row r="18" spans="2:13" ht="17.25" outlineLevel="1" thickBot="1" x14ac:dyDescent="0.3">
      <c r="B18" s="74"/>
      <c r="C18" s="74" t="s">
        <v>80</v>
      </c>
      <c r="D18" s="81">
        <v>140600</v>
      </c>
      <c r="E18" s="81">
        <v>140600</v>
      </c>
      <c r="F18" s="81">
        <v>101500</v>
      </c>
      <c r="G18" s="81">
        <v>-43000</v>
      </c>
      <c r="H18" s="81">
        <v>49600</v>
      </c>
      <c r="I18" s="81">
        <v>20050</v>
      </c>
      <c r="J18" s="81">
        <v>10300</v>
      </c>
      <c r="K18" s="81">
        <v>255050</v>
      </c>
      <c r="L18" s="81">
        <v>266900</v>
      </c>
      <c r="M18" s="81">
        <v>404800</v>
      </c>
    </row>
    <row r="19" spans="2:13" x14ac:dyDescent="0.25">
      <c r="B19" t="s">
        <v>68</v>
      </c>
    </row>
    <row r="20" spans="2:13" x14ac:dyDescent="0.25">
      <c r="B20" t="s">
        <v>69</v>
      </c>
    </row>
    <row r="21" spans="2:13" x14ac:dyDescent="0.25">
      <c r="B21" t="s">
        <v>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50</vt:i4>
      </vt:variant>
    </vt:vector>
  </HeadingPairs>
  <TitlesOfParts>
    <vt:vector size="57" baseType="lpstr">
      <vt:lpstr>盈收預測摘要</vt:lpstr>
      <vt:lpstr>盈收預測</vt:lpstr>
      <vt:lpstr>行銷計劃-台北</vt:lpstr>
      <vt:lpstr>行銷計劃-台中</vt:lpstr>
      <vt:lpstr>行銷計劃-高雄</vt:lpstr>
      <vt:lpstr>行銷計劃-合併</vt:lpstr>
      <vt:lpstr>行銷計劃摘要</vt:lpstr>
      <vt:lpstr>'行銷計劃-台中'!月銷售量</vt:lpstr>
      <vt:lpstr>'行銷計劃-台北'!月銷售量</vt:lpstr>
      <vt:lpstr>'行銷計劃-高雄'!月銷售量</vt:lpstr>
      <vt:lpstr>月銷售量</vt:lpstr>
      <vt:lpstr>'行銷計劃-台中'!包裝_每雙</vt:lpstr>
      <vt:lpstr>'行銷計劃-台北'!包裝_每雙</vt:lpstr>
      <vt:lpstr>'行銷計劃-高雄'!包裝_每雙</vt:lpstr>
      <vt:lpstr>包裝_每雙</vt:lpstr>
      <vt:lpstr>'行銷計劃-台中'!平均折扣</vt:lpstr>
      <vt:lpstr>'行銷計劃-台北'!平均折扣</vt:lpstr>
      <vt:lpstr>'行銷計劃-高雄'!平均折扣</vt:lpstr>
      <vt:lpstr>平均折扣</vt:lpstr>
      <vt:lpstr>收入</vt:lpstr>
      <vt:lpstr>材料</vt:lpstr>
      <vt:lpstr>'行銷計劃-台中'!材料_每雙</vt:lpstr>
      <vt:lpstr>'行銷計劃-台北'!材料_每雙</vt:lpstr>
      <vt:lpstr>'行銷計劃-高雄'!材料_每雙</vt:lpstr>
      <vt:lpstr>材料_每雙</vt:lpstr>
      <vt:lpstr>'行銷計劃-台中'!每雙定價</vt:lpstr>
      <vt:lpstr>'行銷計劃-台北'!每雙定價</vt:lpstr>
      <vt:lpstr>'行銷計劃-高雄'!每雙定價</vt:lpstr>
      <vt:lpstr>每雙定價</vt:lpstr>
      <vt:lpstr>其它</vt:lpstr>
      <vt:lpstr>'行銷計劃-台中'!其它雜支費用_月</vt:lpstr>
      <vt:lpstr>'行銷計劃-台北'!其它雜支費用_月</vt:lpstr>
      <vt:lpstr>'行銷計劃-高雄'!其它雜支費用_月</vt:lpstr>
      <vt:lpstr>其它雜支費用_月</vt:lpstr>
      <vt:lpstr>固定成本小計</vt:lpstr>
      <vt:lpstr>研發</vt:lpstr>
      <vt:lpstr>第五年收入</vt:lpstr>
      <vt:lpstr>第五年稅盈前餘</vt:lpstr>
      <vt:lpstr>第五年費用</vt:lpstr>
      <vt:lpstr>稅前盈收</vt:lpstr>
      <vt:lpstr>費用小計</vt:lpstr>
      <vt:lpstr>管銷</vt:lpstr>
      <vt:lpstr>'行銷計劃-台中'!管銷費用_月</vt:lpstr>
      <vt:lpstr>'行銷計劃-台北'!管銷費用_月</vt:lpstr>
      <vt:lpstr>'行銷計劃-高雄'!管銷費用_月</vt:lpstr>
      <vt:lpstr>管銷費用_月</vt:lpstr>
      <vt:lpstr>'行銷計劃-台中'!廣告費用_月</vt:lpstr>
      <vt:lpstr>'行銷計劃-台北'!廣告費用_月</vt:lpstr>
      <vt:lpstr>'行銷計劃-高雄'!廣告費用_月</vt:lpstr>
      <vt:lpstr>廣告費用_月</vt:lpstr>
      <vt:lpstr>營運</vt:lpstr>
      <vt:lpstr>'行銷計劃-台中'!營運費用_月</vt:lpstr>
      <vt:lpstr>'行銷計劃-台北'!營運費用_月</vt:lpstr>
      <vt:lpstr>'行銷計劃-高雄'!營運費用_月</vt:lpstr>
      <vt:lpstr>營運費用_月</vt:lpstr>
      <vt:lpstr>總收入</vt:lpstr>
      <vt:lpstr>總費用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2012-01-04T12:17:02Z</cp:lastPrinted>
  <dcterms:created xsi:type="dcterms:W3CDTF">2011-09-10T14:34:53Z</dcterms:created>
  <dcterms:modified xsi:type="dcterms:W3CDTF">2014-08-12T03:48:08Z</dcterms:modified>
</cp:coreProperties>
</file>