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drawings/drawing8.xml" ContentType="application/vnd.openxmlformats-officedocument.drawing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LindaShare\Answer\"/>
    </mc:Choice>
  </mc:AlternateContent>
  <bookViews>
    <workbookView xWindow="-15" yWindow="-15" windowWidth="11610" windowHeight="9255" tabRatio="792" activeTab="10"/>
  </bookViews>
  <sheets>
    <sheet name="數學方程式" sheetId="1" r:id="rId1"/>
    <sheet name="鷄免同籠" sheetId="3" r:id="rId2"/>
    <sheet name="無解" sheetId="14" r:id="rId3"/>
    <sheet name="九宮格" sheetId="42" r:id="rId4"/>
    <sheet name="工廠裝配" sheetId="12" r:id="rId5"/>
    <sheet name="多重期間生產" sheetId="24" r:id="rId6"/>
    <sheet name="投資決策" sheetId="19" r:id="rId7"/>
    <sheet name="任務指派" sheetId="16" r:id="rId8"/>
    <sheet name="人力調度" sheetId="29" r:id="rId9"/>
    <sheet name="值班人力" sheetId="40" r:id="rId10"/>
    <sheet name="公平分組" sheetId="43" r:id="rId11"/>
  </sheets>
  <definedNames>
    <definedName name="_Fill" hidden="1">#REF!</definedName>
    <definedName name="_Key1" hidden="1">#REF!</definedName>
    <definedName name="_Key2" hidden="1">#REF!</definedName>
    <definedName name="_Order1" hidden="1">0</definedName>
    <definedName name="_Order2" hidden="1">0</definedName>
    <definedName name="_Sort" hidden="1">#REF!</definedName>
    <definedName name="AA" hidden="1">#REF!</definedName>
    <definedName name="anscount1" hidden="1">1</definedName>
    <definedName name="limcount" hidden="1">5</definedName>
    <definedName name="sencount" hidden="1">6</definedName>
    <definedName name="solver_adj" localSheetId="3" hidden="1">九宮格!$B$3:$D$5</definedName>
    <definedName name="solver_adj" localSheetId="8" hidden="1">人力調度!$C$10:$E$10,人力調度!$K$6,人力調度!$L$7:$L$8,人力調度!$M$5:$M$6,人力調度!$M$8,人力調度!$N$5</definedName>
    <definedName name="solver_adj" localSheetId="4" hidden="1">工廠裝配!$C$13:$G$13</definedName>
    <definedName name="solver_adj" localSheetId="10" hidden="1">公平分組!$F$3:$H$6</definedName>
    <definedName name="solver_adj" localSheetId="7" hidden="1">任務指派!$C$20:$C$22,任務指派!$C$24,任務指派!$D$17:$D$24,任務指派!$E$17:$E$20,任務指派!$E$24,任務指派!$F$17:$F$18,任務指派!$F$20,任務指派!$F$22:$F$23,任務指派!$G$19:$G$24,任務指派!$H$17:$H$20,任務指派!$H$24,任務指派!$I$17:$I$18,任務指派!$I$22:$I$24,任務指派!$J$17:$J$24</definedName>
    <definedName name="solver_adj" localSheetId="5" hidden="1">多重期間生產!$J$6:$M$11</definedName>
    <definedName name="solver_adj" localSheetId="6" hidden="1">投資決策!$I$6:$I$12</definedName>
    <definedName name="solver_adj" localSheetId="9" hidden="1">值班人力!$G$3:$G$9</definedName>
    <definedName name="solver_adj" localSheetId="2" hidden="1">無解!$G$5:$G$6</definedName>
    <definedName name="solver_adj" localSheetId="0" hidden="1">數學方程式!$B$4:$C$4</definedName>
    <definedName name="solver_adj" localSheetId="1" hidden="1">鷄免同籠!$E$2:$E$3</definedName>
    <definedName name="solver_cvg" localSheetId="3" hidden="1">0.0001</definedName>
    <definedName name="solver_cvg" localSheetId="8" hidden="1">0.0001</definedName>
    <definedName name="solver_cvg" localSheetId="4" hidden="1">0.0001</definedName>
    <definedName name="solver_cvg" localSheetId="10" hidden="1">0.0001</definedName>
    <definedName name="solver_cvg" localSheetId="7" hidden="1">0.0001</definedName>
    <definedName name="solver_cvg" localSheetId="5" hidden="1">0.0001</definedName>
    <definedName name="solver_cvg" localSheetId="6" hidden="1">0.0001</definedName>
    <definedName name="solver_cvg" localSheetId="9" hidden="1">0.0001</definedName>
    <definedName name="solver_cvg" localSheetId="2" hidden="1">0.0001</definedName>
    <definedName name="solver_cvg" localSheetId="0" hidden="1">0.0001</definedName>
    <definedName name="solver_cvg" localSheetId="1" hidden="1">0.0001</definedName>
    <definedName name="solver_drv" localSheetId="3" hidden="1">1</definedName>
    <definedName name="solver_drv" localSheetId="8" hidden="1">1</definedName>
    <definedName name="solver_drv" localSheetId="4" hidden="1">1</definedName>
    <definedName name="solver_drv" localSheetId="10" hidden="1">1</definedName>
    <definedName name="solver_drv" localSheetId="7" hidden="1">1</definedName>
    <definedName name="solver_drv" localSheetId="5" hidden="1">1</definedName>
    <definedName name="solver_drv" localSheetId="6" hidden="1">1</definedName>
    <definedName name="solver_drv" localSheetId="9" hidden="1">1</definedName>
    <definedName name="solver_drv" localSheetId="2" hidden="1">1</definedName>
    <definedName name="solver_drv" localSheetId="0" hidden="1">2</definedName>
    <definedName name="solver_drv" localSheetId="1" hidden="1">2</definedName>
    <definedName name="solver_eng" localSheetId="3" hidden="1">1</definedName>
    <definedName name="solver_eng" localSheetId="8" hidden="1">1</definedName>
    <definedName name="solver_eng" localSheetId="4" hidden="1">1</definedName>
    <definedName name="solver_eng" localSheetId="10" hidden="1">3</definedName>
    <definedName name="solver_eng" localSheetId="7" hidden="1">2</definedName>
    <definedName name="solver_eng" localSheetId="5" hidden="1">1</definedName>
    <definedName name="solver_eng" localSheetId="6" hidden="1">1</definedName>
    <definedName name="solver_eng" localSheetId="9" hidden="1">1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3" hidden="1">1</definedName>
    <definedName name="solver_est" localSheetId="8" hidden="1">1</definedName>
    <definedName name="solver_est" localSheetId="4" hidden="1">1</definedName>
    <definedName name="solver_est" localSheetId="10" hidden="1">1</definedName>
    <definedName name="solver_est" localSheetId="7" hidden="1">1</definedName>
    <definedName name="solver_est" localSheetId="5" hidden="1">1</definedName>
    <definedName name="solver_est" localSheetId="6" hidden="1">1</definedName>
    <definedName name="solver_est" localSheetId="9" hidden="1">1</definedName>
    <definedName name="solver_est" localSheetId="2" hidden="1">1</definedName>
    <definedName name="solver_est" localSheetId="0" hidden="1">1</definedName>
    <definedName name="solver_est" localSheetId="1" hidden="1">1</definedName>
    <definedName name="solver_itr" localSheetId="3" hidden="1">2147483647</definedName>
    <definedName name="solver_itr" localSheetId="8" hidden="1">100</definedName>
    <definedName name="solver_itr" localSheetId="4" hidden="1">100</definedName>
    <definedName name="solver_itr" localSheetId="10" hidden="1">2147483647</definedName>
    <definedName name="solver_itr" localSheetId="7" hidden="1">100</definedName>
    <definedName name="solver_itr" localSheetId="5" hidden="1">100</definedName>
    <definedName name="solver_itr" localSheetId="6" hidden="1">100</definedName>
    <definedName name="solver_itr" localSheetId="9" hidden="1">2147483647</definedName>
    <definedName name="solver_itr" localSheetId="2" hidden="1">100</definedName>
    <definedName name="solver_itr" localSheetId="0" hidden="1">2147483647</definedName>
    <definedName name="solver_itr" localSheetId="1" hidden="1">2147483647</definedName>
    <definedName name="solver_lhs1" localSheetId="3" hidden="1">九宮格!$B$2</definedName>
    <definedName name="solver_lhs1" localSheetId="8" hidden="1">人力調度!$C$10:$E$10</definedName>
    <definedName name="solver_lhs1" localSheetId="4" hidden="1">工廠裝配!$C$13:$G$13</definedName>
    <definedName name="solver_lhs1" localSheetId="10" hidden="1">公平分組!$F$3:$H$6</definedName>
    <definedName name="solver_lhs1" localSheetId="7" hidden="1">任務指派!$C$25:$J$25</definedName>
    <definedName name="solver_lhs1" localSheetId="5" hidden="1">多重期間生產!$J$14:$M$19</definedName>
    <definedName name="solver_lhs1" localSheetId="6" hidden="1">投資決策!$D$13:$H$13</definedName>
    <definedName name="solver_lhs1" localSheetId="9" hidden="1">值班人力!$G$3:$G$9</definedName>
    <definedName name="solver_lhs1" localSheetId="2" hidden="1">無解!$D$7:$E$7</definedName>
    <definedName name="solver_lhs1" localSheetId="0" hidden="1">數學方程式!$B$4</definedName>
    <definedName name="solver_lhs1" localSheetId="1" hidden="1">鷄免同籠!$E$2:$E$3</definedName>
    <definedName name="solver_lhs10" localSheetId="7" hidden="1">任務指派!$L$17:$L$24</definedName>
    <definedName name="solver_lhs11" localSheetId="7" hidden="1">任務指派!$L$17:$L$24</definedName>
    <definedName name="solver_lhs12" localSheetId="7" hidden="1">任務指派!$L$17:$L$24</definedName>
    <definedName name="solver_lhs13" localSheetId="7" hidden="1">任務指派!$L$17:$L$24</definedName>
    <definedName name="solver_lhs14" localSheetId="7" hidden="1">任務指派!$L$17:$L$24</definedName>
    <definedName name="solver_lhs15" localSheetId="7" hidden="1">任務指派!$L$17:$L$24</definedName>
    <definedName name="solver_lhs16" localSheetId="7" hidden="1">任務指派!$L$17:$L$24</definedName>
    <definedName name="solver_lhs2" localSheetId="3" hidden="1">九宮格!$B$3:$D$5</definedName>
    <definedName name="solver_lhs2" localSheetId="8" hidden="1">人力調度!$H$5:$H$8</definedName>
    <definedName name="solver_lhs2" localSheetId="4" hidden="1">工廠裝配!$I$6:$I$11</definedName>
    <definedName name="solver_lhs2" localSheetId="10" hidden="1">公平分組!$F$3:$H$6</definedName>
    <definedName name="solver_lhs2" localSheetId="7" hidden="1">任務指派!$L$17:$L$24</definedName>
    <definedName name="solver_lhs2" localSheetId="5" hidden="1">多重期間生產!$J$6:$M$11</definedName>
    <definedName name="solver_lhs2" localSheetId="6" hidden="1">投資決策!$I$6:$I$12</definedName>
    <definedName name="solver_lhs2" localSheetId="9" hidden="1">值班人力!$G$3:$G$9</definedName>
    <definedName name="solver_lhs2" localSheetId="2" hidden="1">無解!$G$5:$G$6</definedName>
    <definedName name="solver_lhs2" localSheetId="1" hidden="1">鷄免同籠!$E$5</definedName>
    <definedName name="solver_lhs3" localSheetId="3" hidden="1">九宮格!$B$3:$D$5</definedName>
    <definedName name="solver_lhs3" localSheetId="8" hidden="1">人力調度!$K$6</definedName>
    <definedName name="solver_lhs3" localSheetId="10" hidden="1">公平分組!$F$3:$H$6</definedName>
    <definedName name="solver_lhs3" localSheetId="7" hidden="1">任務指派!$L$17:$L$24</definedName>
    <definedName name="solver_lhs3" localSheetId="5" hidden="1">多重期間生產!$N$6:$N$11</definedName>
    <definedName name="solver_lhs3" localSheetId="6" hidden="1">投資決策!$E$13</definedName>
    <definedName name="solver_lhs3" localSheetId="9" hidden="1">值班人力!$H$10:$N$10</definedName>
    <definedName name="solver_lhs3" localSheetId="2" hidden="1">無解!$D$2</definedName>
    <definedName name="solver_lhs4" localSheetId="3" hidden="1">九宮格!$B$6:$D$6</definedName>
    <definedName name="solver_lhs4" localSheetId="8" hidden="1">人力調度!$L$7:$L$8</definedName>
    <definedName name="solver_lhs4" localSheetId="7" hidden="1">任務指派!$L$17:$L$24</definedName>
    <definedName name="solver_lhs4" localSheetId="5" hidden="1">多重期間生產!$N$6:$N$11</definedName>
    <definedName name="solver_lhs4" localSheetId="6" hidden="1">投資決策!$F$13</definedName>
    <definedName name="solver_lhs4" localSheetId="2" hidden="1">無解!$D$8</definedName>
    <definedName name="solver_lhs5" localSheetId="3" hidden="1">九宮格!$D$2</definedName>
    <definedName name="solver_lhs5" localSheetId="8" hidden="1">人力調度!$M$5:$M$6</definedName>
    <definedName name="solver_lhs5" localSheetId="7" hidden="1">任務指派!$L$17:$L$24</definedName>
    <definedName name="solver_lhs5" localSheetId="2" hidden="1">無解!$E$8</definedName>
    <definedName name="solver_lhs6" localSheetId="3" hidden="1">九宮格!$E$3:$E$5</definedName>
    <definedName name="solver_lhs6" localSheetId="8" hidden="1">人力調度!$M$8</definedName>
    <definedName name="solver_lhs6" localSheetId="7" hidden="1">任務指派!$L$17:$L$24</definedName>
    <definedName name="solver_lhs6" localSheetId="2" hidden="1">無解!$G$5</definedName>
    <definedName name="solver_lhs7" localSheetId="8" hidden="1">人力調度!$N$5</definedName>
    <definedName name="solver_lhs7" localSheetId="7" hidden="1">任務指派!$L$17:$L$24</definedName>
    <definedName name="solver_lhs7" localSheetId="2" hidden="1">無解!$G$6</definedName>
    <definedName name="solver_lhs8" localSheetId="8" hidden="1">人力調度!$P$5:$P$8</definedName>
    <definedName name="solver_lhs8" localSheetId="7" hidden="1">任務指派!$L$17:$L$24</definedName>
    <definedName name="solver_lhs9" localSheetId="7" hidden="1">任務指派!$L$17:$L$24</definedName>
    <definedName name="solver_lin" localSheetId="8" hidden="1">2</definedName>
    <definedName name="solver_lin" localSheetId="4" hidden="1">1</definedName>
    <definedName name="solver_lin" localSheetId="7" hidden="1">2</definedName>
    <definedName name="solver_lin" localSheetId="5" hidden="1">2</definedName>
    <definedName name="solver_lin" localSheetId="6" hidden="1">2</definedName>
    <definedName name="solver_lin" localSheetId="2" hidden="1">2</definedName>
    <definedName name="solver_mip" localSheetId="3" hidden="1">2147483647</definedName>
    <definedName name="solver_mip" localSheetId="8" hidden="1">2147483647</definedName>
    <definedName name="solver_mip" localSheetId="4" hidden="1">2147483647</definedName>
    <definedName name="solver_mip" localSheetId="10" hidden="1">2147483647</definedName>
    <definedName name="solver_mip" localSheetId="7" hidden="1">2147483647</definedName>
    <definedName name="solver_mip" localSheetId="5" hidden="1">2147483647</definedName>
    <definedName name="solver_mip" localSheetId="6" hidden="1">2147483647</definedName>
    <definedName name="solver_mip" localSheetId="9" hidden="1">2147483647</definedName>
    <definedName name="solver_mip" localSheetId="2" hidden="1">2147483647</definedName>
    <definedName name="solver_mip" localSheetId="0" hidden="1">2147483647</definedName>
    <definedName name="solver_mip" localSheetId="1" hidden="1">2147483647</definedName>
    <definedName name="solver_mni" localSheetId="3" hidden="1">30</definedName>
    <definedName name="solver_mni" localSheetId="8" hidden="1">30</definedName>
    <definedName name="solver_mni" localSheetId="4" hidden="1">30</definedName>
    <definedName name="solver_mni" localSheetId="10" hidden="1">30</definedName>
    <definedName name="solver_mni" localSheetId="7" hidden="1">30</definedName>
    <definedName name="solver_mni" localSheetId="5" hidden="1">30</definedName>
    <definedName name="solver_mni" localSheetId="6" hidden="1">30</definedName>
    <definedName name="solver_mni" localSheetId="9" hidden="1">30</definedName>
    <definedName name="solver_mni" localSheetId="2" hidden="1">30</definedName>
    <definedName name="solver_mni" localSheetId="0" hidden="1">30</definedName>
    <definedName name="solver_mni" localSheetId="1" hidden="1">30</definedName>
    <definedName name="solver_mrt" localSheetId="3" hidden="1">0.075</definedName>
    <definedName name="solver_mrt" localSheetId="8" hidden="1">0.075</definedName>
    <definedName name="solver_mrt" localSheetId="4" hidden="1">0.075</definedName>
    <definedName name="solver_mrt" localSheetId="10" hidden="1">0.075</definedName>
    <definedName name="solver_mrt" localSheetId="7" hidden="1">0.075</definedName>
    <definedName name="solver_mrt" localSheetId="5" hidden="1">0.075</definedName>
    <definedName name="solver_mrt" localSheetId="6" hidden="1">0.075</definedName>
    <definedName name="solver_mrt" localSheetId="9" hidden="1">0.075</definedName>
    <definedName name="solver_mrt" localSheetId="2" hidden="1">0.075</definedName>
    <definedName name="solver_mrt" localSheetId="0" hidden="1">0.075</definedName>
    <definedName name="solver_mrt" localSheetId="1" hidden="1">0.075</definedName>
    <definedName name="solver_msl" localSheetId="3" hidden="1">2</definedName>
    <definedName name="solver_msl" localSheetId="8" hidden="1">2</definedName>
    <definedName name="solver_msl" localSheetId="4" hidden="1">2</definedName>
    <definedName name="solver_msl" localSheetId="10" hidden="1">2</definedName>
    <definedName name="solver_msl" localSheetId="7" hidden="1">2</definedName>
    <definedName name="solver_msl" localSheetId="5" hidden="1">2</definedName>
    <definedName name="solver_msl" localSheetId="6" hidden="1">2</definedName>
    <definedName name="solver_msl" localSheetId="9" hidden="1">2</definedName>
    <definedName name="solver_msl" localSheetId="2" hidden="1">2</definedName>
    <definedName name="solver_msl" localSheetId="0" hidden="1">2</definedName>
    <definedName name="solver_msl" localSheetId="1" hidden="1">2</definedName>
    <definedName name="solver_neg" localSheetId="3" hidden="1">1</definedName>
    <definedName name="solver_neg" localSheetId="8" hidden="1">1</definedName>
    <definedName name="solver_neg" localSheetId="4" hidden="1">1</definedName>
    <definedName name="solver_neg" localSheetId="10" hidden="1">1</definedName>
    <definedName name="solver_neg" localSheetId="7" hidden="1">1</definedName>
    <definedName name="solver_neg" localSheetId="5" hidden="1">1</definedName>
    <definedName name="solver_neg" localSheetId="6" hidden="1">1</definedName>
    <definedName name="solver_neg" localSheetId="9" hidden="1">1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3" hidden="1">2147483647</definedName>
    <definedName name="solver_nod" localSheetId="8" hidden="1">2147483647</definedName>
    <definedName name="solver_nod" localSheetId="4" hidden="1">2147483647</definedName>
    <definedName name="solver_nod" localSheetId="10" hidden="1">2147483647</definedName>
    <definedName name="solver_nod" localSheetId="7" hidden="1">2147483647</definedName>
    <definedName name="solver_nod" localSheetId="5" hidden="1">2147483647</definedName>
    <definedName name="solver_nod" localSheetId="6" hidden="1">2147483647</definedName>
    <definedName name="solver_nod" localSheetId="9" hidden="1">2147483647</definedName>
    <definedName name="solver_nod" localSheetId="2" hidden="1">2147483647</definedName>
    <definedName name="solver_nod" localSheetId="0" hidden="1">2147483647</definedName>
    <definedName name="solver_nod" localSheetId="1" hidden="1">2147483647</definedName>
    <definedName name="solver_num" localSheetId="3" hidden="1">6</definedName>
    <definedName name="solver_num" localSheetId="8" hidden="1">8</definedName>
    <definedName name="solver_num" localSheetId="4" hidden="1">2</definedName>
    <definedName name="solver_num" localSheetId="10" hidden="1">3</definedName>
    <definedName name="solver_num" localSheetId="7" hidden="1">2</definedName>
    <definedName name="solver_num" localSheetId="5" hidden="1">4</definedName>
    <definedName name="solver_num" localSheetId="6" hidden="1">2</definedName>
    <definedName name="solver_num" localSheetId="9" hidden="1">3</definedName>
    <definedName name="solver_num" localSheetId="2" hidden="1">2</definedName>
    <definedName name="solver_num" localSheetId="0" hidden="1">1</definedName>
    <definedName name="solver_num" localSheetId="1" hidden="1">2</definedName>
    <definedName name="solver_nwt" localSheetId="3" hidden="1">1</definedName>
    <definedName name="solver_nwt" localSheetId="8" hidden="1">1</definedName>
    <definedName name="solver_nwt" localSheetId="4" hidden="1">1</definedName>
    <definedName name="solver_nwt" localSheetId="10" hidden="1">1</definedName>
    <definedName name="solver_nwt" localSheetId="7" hidden="1">1</definedName>
    <definedName name="solver_nwt" localSheetId="5" hidden="1">1</definedName>
    <definedName name="solver_nwt" localSheetId="6" hidden="1">1</definedName>
    <definedName name="solver_nwt" localSheetId="9" hidden="1">1</definedName>
    <definedName name="solver_nwt" localSheetId="2" hidden="1">1</definedName>
    <definedName name="solver_nwt" localSheetId="0" hidden="1">1</definedName>
    <definedName name="solver_nwt" localSheetId="1" hidden="1">1</definedName>
    <definedName name="solver_opt" localSheetId="3" hidden="1">九宮格!$E$6</definedName>
    <definedName name="solver_opt" localSheetId="8" hidden="1">人力調度!$C$11</definedName>
    <definedName name="solver_opt" localSheetId="4" hidden="1">工廠裝配!$C$2</definedName>
    <definedName name="solver_opt" localSheetId="10" hidden="1">公平分組!$I$13</definedName>
    <definedName name="solver_opt" localSheetId="7" hidden="1">任務指派!$C$2</definedName>
    <definedName name="solver_opt" localSheetId="5" hidden="1">多重期間生產!$N$2</definedName>
    <definedName name="solver_opt" localSheetId="6" hidden="1">投資決策!$C$2</definedName>
    <definedName name="solver_opt" localSheetId="9" hidden="1">值班人力!$C$10</definedName>
    <definedName name="solver_opt" localSheetId="2" hidden="1">無解!$D$2</definedName>
    <definedName name="solver_opt" localSheetId="0" hidden="1">數學方程式!$D$4</definedName>
    <definedName name="solver_opt" localSheetId="1" hidden="1">鷄免同籠!$E$4</definedName>
    <definedName name="solver_pre" localSheetId="3" hidden="1">0.000001</definedName>
    <definedName name="solver_pre" localSheetId="8" hidden="1">0.000001</definedName>
    <definedName name="solver_pre" localSheetId="4" hidden="1">0.000001</definedName>
    <definedName name="solver_pre" localSheetId="10" hidden="1">0.00000000001</definedName>
    <definedName name="solver_pre" localSheetId="7" hidden="1">0.000001</definedName>
    <definedName name="solver_pre" localSheetId="5" hidden="1">0.000001</definedName>
    <definedName name="solver_pre" localSheetId="6" hidden="1">0.000001</definedName>
    <definedName name="solver_pre" localSheetId="9" hidden="1">0.000001</definedName>
    <definedName name="solver_pre" localSheetId="2" hidden="1">0.000001</definedName>
    <definedName name="solver_pre" localSheetId="0" hidden="1">1E-24</definedName>
    <definedName name="solver_pre" localSheetId="1" hidden="1">0.000001</definedName>
    <definedName name="solver_rbv" localSheetId="3" hidden="1">1</definedName>
    <definedName name="solver_rbv" localSheetId="8" hidden="1">1</definedName>
    <definedName name="solver_rbv" localSheetId="4" hidden="1">1</definedName>
    <definedName name="solver_rbv" localSheetId="10" hidden="1">1</definedName>
    <definedName name="solver_rbv" localSheetId="7" hidden="1">1</definedName>
    <definedName name="solver_rbv" localSheetId="5" hidden="1">1</definedName>
    <definedName name="solver_rbv" localSheetId="6" hidden="1">1</definedName>
    <definedName name="solver_rbv" localSheetId="9" hidden="1">1</definedName>
    <definedName name="solver_rbv" localSheetId="2" hidden="1">1</definedName>
    <definedName name="solver_rbv" localSheetId="0" hidden="1">2</definedName>
    <definedName name="solver_rbv" localSheetId="1" hidden="1">2</definedName>
    <definedName name="solver_rel1" localSheetId="3" hidden="1">2</definedName>
    <definedName name="solver_rel1" localSheetId="8" hidden="1">4</definedName>
    <definedName name="solver_rel1" localSheetId="4" hidden="1">4</definedName>
    <definedName name="solver_rel1" localSheetId="10" hidden="1">1</definedName>
    <definedName name="solver_rel1" localSheetId="7" hidden="1">2</definedName>
    <definedName name="solver_rel1" localSheetId="5" hidden="1">3</definedName>
    <definedName name="solver_rel1" localSheetId="6" hidden="1">1</definedName>
    <definedName name="solver_rel1" localSheetId="9" hidden="1">4</definedName>
    <definedName name="solver_rel1" localSheetId="2" hidden="1">1</definedName>
    <definedName name="solver_rel1" localSheetId="0" hidden="1">3</definedName>
    <definedName name="solver_rel1" localSheetId="1" hidden="1">4</definedName>
    <definedName name="solver_rel10" localSheetId="7" hidden="1">2</definedName>
    <definedName name="solver_rel11" localSheetId="7" hidden="1">2</definedName>
    <definedName name="solver_rel12" localSheetId="7" hidden="1">2</definedName>
    <definedName name="solver_rel13" localSheetId="7" hidden="1">2</definedName>
    <definedName name="solver_rel14" localSheetId="7" hidden="1">2</definedName>
    <definedName name="solver_rel15" localSheetId="7" hidden="1">2</definedName>
    <definedName name="solver_rel16" localSheetId="7" hidden="1">2</definedName>
    <definedName name="solver_rel2" localSheetId="3" hidden="1">6</definedName>
    <definedName name="solver_rel2" localSheetId="8" hidden="1">1</definedName>
    <definedName name="solver_rel2" localSheetId="4" hidden="1">3</definedName>
    <definedName name="solver_rel2" localSheetId="10" hidden="1">6</definedName>
    <definedName name="solver_rel2" localSheetId="7" hidden="1">2</definedName>
    <definedName name="solver_rel2" localSheetId="5" hidden="1">4</definedName>
    <definedName name="solver_rel2" localSheetId="6" hidden="1">5</definedName>
    <definedName name="solver_rel2" localSheetId="9" hidden="1">3</definedName>
    <definedName name="solver_rel2" localSheetId="2" hidden="1">3</definedName>
    <definedName name="solver_rel2" localSheetId="1" hidden="1">2</definedName>
    <definedName name="solver_rel3" localSheetId="3" hidden="1">4</definedName>
    <definedName name="solver_rel3" localSheetId="8" hidden="1">4</definedName>
    <definedName name="solver_rel3" localSheetId="10" hidden="1">4</definedName>
    <definedName name="solver_rel3" localSheetId="7" hidden="1">2</definedName>
    <definedName name="solver_rel3" localSheetId="5" hidden="1">1</definedName>
    <definedName name="solver_rel3" localSheetId="6" hidden="1">1</definedName>
    <definedName name="solver_rel3" localSheetId="9" hidden="1">3</definedName>
    <definedName name="solver_rel3" localSheetId="2" hidden="1">3</definedName>
    <definedName name="solver_rel4" localSheetId="3" hidden="1">2</definedName>
    <definedName name="solver_rel4" localSheetId="8" hidden="1">4</definedName>
    <definedName name="solver_rel4" localSheetId="7" hidden="1">2</definedName>
    <definedName name="solver_rel4" localSheetId="5" hidden="1">3</definedName>
    <definedName name="solver_rel4" localSheetId="6" hidden="1">1</definedName>
    <definedName name="solver_rel4" localSheetId="2" hidden="1">3</definedName>
    <definedName name="solver_rel5" localSheetId="3" hidden="1">2</definedName>
    <definedName name="solver_rel5" localSheetId="8" hidden="1">4</definedName>
    <definedName name="solver_rel5" localSheetId="7" hidden="1">2</definedName>
    <definedName name="solver_rel5" localSheetId="2" hidden="1">3</definedName>
    <definedName name="solver_rel6" localSheetId="3" hidden="1">2</definedName>
    <definedName name="solver_rel6" localSheetId="8" hidden="1">4</definedName>
    <definedName name="solver_rel6" localSheetId="7" hidden="1">2</definedName>
    <definedName name="solver_rel6" localSheetId="2" hidden="1">3</definedName>
    <definedName name="solver_rel7" localSheetId="8" hidden="1">4</definedName>
    <definedName name="solver_rel7" localSheetId="7" hidden="1">2</definedName>
    <definedName name="solver_rel7" localSheetId="2" hidden="1">3</definedName>
    <definedName name="solver_rel8" localSheetId="8" hidden="1">1</definedName>
    <definedName name="solver_rel8" localSheetId="7" hidden="1">2</definedName>
    <definedName name="solver_rel9" localSheetId="7" hidden="1">2</definedName>
    <definedName name="solver_rhs1" localSheetId="3" hidden="1">15</definedName>
    <definedName name="solver_rhs1" localSheetId="8" hidden="1">整數</definedName>
    <definedName name="solver_rhs1" localSheetId="4" hidden="1">整數</definedName>
    <definedName name="solver_rhs1" localSheetId="10" hidden="1">公平分組!$C$15</definedName>
    <definedName name="solver_rhs1" localSheetId="7" hidden="1">1</definedName>
    <definedName name="solver_rhs1" localSheetId="5" hidden="1">0</definedName>
    <definedName name="solver_rhs1" localSheetId="6" hidden="1">投資決策!$D$14:$H$14</definedName>
    <definedName name="solver_rhs1" localSheetId="9" hidden="1">整數</definedName>
    <definedName name="solver_rhs1" localSheetId="2" hidden="1">無解!$D$8:$E$8</definedName>
    <definedName name="solver_rhs1" localSheetId="0" hidden="1">1</definedName>
    <definedName name="solver_rhs1" localSheetId="1" hidden="1">整數</definedName>
    <definedName name="solver_rhs10" localSheetId="7" hidden="1">1</definedName>
    <definedName name="solver_rhs11" localSheetId="7" hidden="1">1</definedName>
    <definedName name="solver_rhs12" localSheetId="7" hidden="1">1</definedName>
    <definedName name="solver_rhs13" localSheetId="7" hidden="1">1</definedName>
    <definedName name="solver_rhs14" localSheetId="7" hidden="1">1</definedName>
    <definedName name="solver_rhs15" localSheetId="7" hidden="1">1</definedName>
    <definedName name="solver_rhs16" localSheetId="7" hidden="1">1</definedName>
    <definedName name="solver_rhs2" localSheetId="3" hidden="1">AllDifferent</definedName>
    <definedName name="solver_rhs2" localSheetId="8" hidden="1">人力調度!$G$5:$G$8</definedName>
    <definedName name="solver_rhs2" localSheetId="4" hidden="1">0</definedName>
    <definedName name="solver_rhs2" localSheetId="10" hidden="1">AllDifferent</definedName>
    <definedName name="solver_rhs2" localSheetId="7" hidden="1">1</definedName>
    <definedName name="solver_rhs2" localSheetId="5" hidden="1">整數</definedName>
    <definedName name="solver_rhs2" localSheetId="6" hidden="1">二進制</definedName>
    <definedName name="solver_rhs2" localSheetId="9" hidden="1">2</definedName>
    <definedName name="solver_rhs2" localSheetId="2" hidden="1">無解!$F$5:$F$6</definedName>
    <definedName name="solver_rhs2" localSheetId="1" hidden="1">100</definedName>
    <definedName name="solver_rhs3" localSheetId="3" hidden="1">整數</definedName>
    <definedName name="solver_rhs3" localSheetId="8" hidden="1">整數</definedName>
    <definedName name="solver_rhs3" localSheetId="10" hidden="1">整數</definedName>
    <definedName name="solver_rhs3" localSheetId="7" hidden="1">1</definedName>
    <definedName name="solver_rhs3" localSheetId="5" hidden="1">多重期間生產!$K$2</definedName>
    <definedName name="solver_rhs3" localSheetId="6" hidden="1">投資決策!$E$14</definedName>
    <definedName name="solver_rhs3" localSheetId="9" hidden="1">值班人力!$C$3:$C$9</definedName>
    <definedName name="solver_rhs3" localSheetId="2" hidden="1">無解!#REF!</definedName>
    <definedName name="solver_rhs4" localSheetId="3" hidden="1">15</definedName>
    <definedName name="solver_rhs4" localSheetId="8" hidden="1">整數</definedName>
    <definedName name="solver_rhs4" localSheetId="7" hidden="1">1</definedName>
    <definedName name="solver_rhs4" localSheetId="5" hidden="1">多重期間生產!$K$3</definedName>
    <definedName name="solver_rhs4" localSheetId="6" hidden="1">投資決策!$F$14</definedName>
    <definedName name="solver_rhs4" localSheetId="2" hidden="1">無解!$D$7</definedName>
    <definedName name="solver_rhs5" localSheetId="3" hidden="1">15</definedName>
    <definedName name="solver_rhs5" localSheetId="8" hidden="1">整數</definedName>
    <definedName name="solver_rhs5" localSheetId="7" hidden="1">1</definedName>
    <definedName name="solver_rhs5" localSheetId="2" hidden="1">無解!$E$7</definedName>
    <definedName name="solver_rhs6" localSheetId="3" hidden="1">15</definedName>
    <definedName name="solver_rhs6" localSheetId="8" hidden="1">整數</definedName>
    <definedName name="solver_rhs6" localSheetId="7" hidden="1">1</definedName>
    <definedName name="solver_rhs6" localSheetId="2" hidden="1">無解!$F$5</definedName>
    <definedName name="solver_rhs7" localSheetId="8" hidden="1">整數</definedName>
    <definedName name="solver_rhs7" localSheetId="7" hidden="1">1</definedName>
    <definedName name="solver_rhs7" localSheetId="2" hidden="1">無解!$F$6</definedName>
    <definedName name="solver_rhs8" localSheetId="8" hidden="1">人力調度!$O$5:$O$8</definedName>
    <definedName name="solver_rhs8" localSheetId="7" hidden="1">1</definedName>
    <definedName name="solver_rhs9" localSheetId="7" hidden="1">1</definedName>
    <definedName name="solver_rlx" localSheetId="3" hidden="1">2</definedName>
    <definedName name="solver_rlx" localSheetId="8" hidden="1">2</definedName>
    <definedName name="solver_rlx" localSheetId="4" hidden="1">2</definedName>
    <definedName name="solver_rlx" localSheetId="10" hidden="1">2</definedName>
    <definedName name="solver_rlx" localSheetId="7" hidden="1">2</definedName>
    <definedName name="solver_rlx" localSheetId="5" hidden="1">2</definedName>
    <definedName name="solver_rlx" localSheetId="6" hidden="1">2</definedName>
    <definedName name="solver_rlx" localSheetId="9" hidden="1">2</definedName>
    <definedName name="solver_rlx" localSheetId="2" hidden="1">2</definedName>
    <definedName name="solver_rlx" localSheetId="0" hidden="1">2</definedName>
    <definedName name="solver_rlx" localSheetId="1" hidden="1">2</definedName>
    <definedName name="solver_rsd" localSheetId="3" hidden="1">0</definedName>
    <definedName name="solver_rsd" localSheetId="8" hidden="1">0</definedName>
    <definedName name="solver_rsd" localSheetId="4" hidden="1">0</definedName>
    <definedName name="solver_rsd" localSheetId="10" hidden="1">0</definedName>
    <definedName name="solver_rsd" localSheetId="7" hidden="1">0</definedName>
    <definedName name="solver_rsd" localSheetId="5" hidden="1">0</definedName>
    <definedName name="solver_rsd" localSheetId="6" hidden="1">0</definedName>
    <definedName name="solver_rsd" localSheetId="9" hidden="1">0</definedName>
    <definedName name="solver_rsd" localSheetId="2" hidden="1">0</definedName>
    <definedName name="solver_rsd" localSheetId="0" hidden="1">0</definedName>
    <definedName name="solver_rsd" localSheetId="1" hidden="1">0</definedName>
    <definedName name="solver_scl" localSheetId="3" hidden="1">1</definedName>
    <definedName name="solver_scl" localSheetId="8" hidden="1">2</definedName>
    <definedName name="solver_scl" localSheetId="4" hidden="1">2</definedName>
    <definedName name="solver_scl" localSheetId="10" hidden="1">1</definedName>
    <definedName name="solver_scl" localSheetId="7" hidden="1">2</definedName>
    <definedName name="solver_scl" localSheetId="5" hidden="1">2</definedName>
    <definedName name="solver_scl" localSheetId="6" hidden="1">2</definedName>
    <definedName name="solver_scl" localSheetId="9" hidden="1">1</definedName>
    <definedName name="solver_scl" localSheetId="2" hidden="1">2</definedName>
    <definedName name="solver_scl" localSheetId="0" hidden="1">2</definedName>
    <definedName name="solver_scl" localSheetId="1" hidden="1">2</definedName>
    <definedName name="solver_sho" localSheetId="3" hidden="1">2</definedName>
    <definedName name="solver_sho" localSheetId="8" hidden="1">2</definedName>
    <definedName name="solver_sho" localSheetId="4" hidden="1">2</definedName>
    <definedName name="solver_sho" localSheetId="10" hidden="1">2</definedName>
    <definedName name="solver_sho" localSheetId="7" hidden="1">2</definedName>
    <definedName name="solver_sho" localSheetId="5" hidden="1">2</definedName>
    <definedName name="solver_sho" localSheetId="6" hidden="1">2</definedName>
    <definedName name="solver_sho" localSheetId="9" hidden="1">2</definedName>
    <definedName name="solver_sho" localSheetId="2" hidden="1">2</definedName>
    <definedName name="solver_sho" localSheetId="0" hidden="1">2</definedName>
    <definedName name="solver_sho" localSheetId="1" hidden="1">2</definedName>
    <definedName name="solver_ssz" localSheetId="3" hidden="1">100</definedName>
    <definedName name="solver_ssz" localSheetId="8" hidden="1">100</definedName>
    <definedName name="solver_ssz" localSheetId="4" hidden="1">100</definedName>
    <definedName name="solver_ssz" localSheetId="10" hidden="1">100</definedName>
    <definedName name="solver_ssz" localSheetId="7" hidden="1">100</definedName>
    <definedName name="solver_ssz" localSheetId="5" hidden="1">100</definedName>
    <definedName name="solver_ssz" localSheetId="6" hidden="1">100</definedName>
    <definedName name="solver_ssz" localSheetId="9" hidden="1">100</definedName>
    <definedName name="solver_ssz" localSheetId="2" hidden="1">100</definedName>
    <definedName name="solver_ssz" localSheetId="0" hidden="1">100</definedName>
    <definedName name="solver_ssz" localSheetId="1" hidden="1">100</definedName>
    <definedName name="solver_tim" localSheetId="3" hidden="1">2147483647</definedName>
    <definedName name="solver_tim" localSheetId="8" hidden="1">100</definedName>
    <definedName name="solver_tim" localSheetId="4" hidden="1">100</definedName>
    <definedName name="solver_tim" localSheetId="10" hidden="1">2147483647</definedName>
    <definedName name="solver_tim" localSheetId="7" hidden="1">100</definedName>
    <definedName name="solver_tim" localSheetId="5" hidden="1">100</definedName>
    <definedName name="solver_tim" localSheetId="6" hidden="1">100</definedName>
    <definedName name="solver_tim" localSheetId="9" hidden="1">2147483647</definedName>
    <definedName name="solver_tim" localSheetId="2" hidden="1">100</definedName>
    <definedName name="solver_tim" localSheetId="0" hidden="1">2147483647</definedName>
    <definedName name="solver_tim" localSheetId="1" hidden="1">2147483647</definedName>
    <definedName name="solver_tol" localSheetId="3" hidden="1">0.01</definedName>
    <definedName name="solver_tol" localSheetId="8" hidden="1">0</definedName>
    <definedName name="solver_tol" localSheetId="4" hidden="1">0</definedName>
    <definedName name="solver_tol" localSheetId="10" hidden="1">0</definedName>
    <definedName name="solver_tol" localSheetId="7" hidden="1">0.05</definedName>
    <definedName name="solver_tol" localSheetId="5" hidden="1">0.05</definedName>
    <definedName name="solver_tol" localSheetId="6" hidden="1">0.05</definedName>
    <definedName name="solver_tol" localSheetId="9" hidden="1">0.01</definedName>
    <definedName name="solver_tol" localSheetId="2" hidden="1">0.05</definedName>
    <definedName name="solver_tol" localSheetId="0" hidden="1">0.01</definedName>
    <definedName name="solver_tol" localSheetId="1" hidden="1">0.01</definedName>
    <definedName name="solver_typ" localSheetId="3" hidden="1">3</definedName>
    <definedName name="solver_typ" localSheetId="8" hidden="1">1</definedName>
    <definedName name="solver_typ" localSheetId="4" hidden="1">1</definedName>
    <definedName name="solver_typ" localSheetId="10" hidden="1">2</definedName>
    <definedName name="solver_typ" localSheetId="7" hidden="1">2</definedName>
    <definedName name="solver_typ" localSheetId="5" hidden="1">2</definedName>
    <definedName name="solver_typ" localSheetId="6" hidden="1">1</definedName>
    <definedName name="solver_typ" localSheetId="9" hidden="1">2</definedName>
    <definedName name="solver_typ" localSheetId="2" hidden="1">1</definedName>
    <definedName name="solver_typ" localSheetId="0" hidden="1">3</definedName>
    <definedName name="solver_typ" localSheetId="1" hidden="1">3</definedName>
    <definedName name="solver_val" localSheetId="3" hidden="1">45</definedName>
    <definedName name="solver_val" localSheetId="8" hidden="1">0</definedName>
    <definedName name="solver_val" localSheetId="4" hidden="1">0</definedName>
    <definedName name="solver_val" localSheetId="10" hidden="1">0</definedName>
    <definedName name="solver_val" localSheetId="7" hidden="1">0</definedName>
    <definedName name="solver_val" localSheetId="5" hidden="1">0</definedName>
    <definedName name="solver_val" localSheetId="6" hidden="1">0</definedName>
    <definedName name="solver_val" localSheetId="9" hidden="1">0</definedName>
    <definedName name="solver_val" localSheetId="2" hidden="1">0</definedName>
    <definedName name="solver_val" localSheetId="0" hidden="1">4</definedName>
    <definedName name="solver_val" localSheetId="1" hidden="1">32</definedName>
    <definedName name="solver_ver" localSheetId="3" hidden="1">3</definedName>
    <definedName name="solver_ver" localSheetId="8" hidden="1">3</definedName>
    <definedName name="solver_ver" localSheetId="4" hidden="1">3</definedName>
    <definedName name="solver_ver" localSheetId="10" hidden="1">3</definedName>
    <definedName name="solver_ver" localSheetId="7" hidden="1">3</definedName>
    <definedName name="solver_ver" localSheetId="5" hidden="1">3</definedName>
    <definedName name="solver_ver" localSheetId="6" hidden="1">3</definedName>
    <definedName name="solver_ver" localSheetId="9" hidden="1">3</definedName>
    <definedName name="solver_ver" localSheetId="2" hidden="1">3</definedName>
    <definedName name="solver_ver" localSheetId="0" hidden="1">3</definedName>
    <definedName name="solver_ver" localSheetId="1" hidden="1">3</definedName>
    <definedName name="wrn.運算結果報表." localSheetId="8" hidden="1">{#N/A,#N/A,FALSE,"運算結果報表  1"}</definedName>
    <definedName name="wrn.運算結果報表." localSheetId="9" hidden="1">{#N/A,#N/A,FALSE,"運算結果報表  1"}</definedName>
    <definedName name="wrn.運算結果報表." hidden="1">{#N/A,#N/A,FALSE,"運算結果報表  1"}</definedName>
  </definedNames>
  <calcPr calcId="152511"/>
</workbook>
</file>

<file path=xl/calcChain.xml><?xml version="1.0" encoding="utf-8"?>
<calcChain xmlns="http://schemas.openxmlformats.org/spreadsheetml/2006/main">
  <c r="F9" i="43" l="1"/>
  <c r="G9" i="43"/>
  <c r="H9" i="43"/>
  <c r="F10" i="43"/>
  <c r="G10" i="43"/>
  <c r="H10" i="43"/>
  <c r="F11" i="43"/>
  <c r="G11" i="43"/>
  <c r="H11" i="43"/>
  <c r="F12" i="43"/>
  <c r="G12" i="43"/>
  <c r="H12" i="43"/>
  <c r="I11" i="43" l="1"/>
  <c r="I12" i="43"/>
  <c r="I9" i="43"/>
  <c r="I10" i="43"/>
  <c r="C10" i="40"/>
  <c r="H3" i="40"/>
  <c r="I3" i="40"/>
  <c r="J3" i="40"/>
  <c r="K3" i="40"/>
  <c r="L3" i="40"/>
  <c r="M3" i="40"/>
  <c r="N3" i="40"/>
  <c r="H4" i="40"/>
  <c r="I4" i="40"/>
  <c r="J4" i="40"/>
  <c r="K4" i="40"/>
  <c r="L4" i="40"/>
  <c r="M4" i="40"/>
  <c r="N4" i="40"/>
  <c r="H5" i="40"/>
  <c r="I5" i="40"/>
  <c r="J5" i="40"/>
  <c r="K5" i="40"/>
  <c r="L5" i="40"/>
  <c r="M5" i="40"/>
  <c r="N5" i="40"/>
  <c r="H6" i="40"/>
  <c r="I6" i="40"/>
  <c r="J6" i="40"/>
  <c r="K6" i="40"/>
  <c r="L6" i="40"/>
  <c r="M6" i="40"/>
  <c r="N6" i="40"/>
  <c r="H7" i="40"/>
  <c r="I7" i="40"/>
  <c r="J7" i="40"/>
  <c r="K7" i="40"/>
  <c r="L7" i="40"/>
  <c r="M7" i="40"/>
  <c r="N7" i="40"/>
  <c r="H8" i="40"/>
  <c r="I8" i="40"/>
  <c r="J8" i="40"/>
  <c r="K8" i="40"/>
  <c r="L8" i="40"/>
  <c r="M8" i="40"/>
  <c r="N8" i="40"/>
  <c r="H9" i="40"/>
  <c r="I9" i="40"/>
  <c r="J9" i="40"/>
  <c r="K9" i="40"/>
  <c r="L9" i="40"/>
  <c r="M9" i="40"/>
  <c r="N9" i="40"/>
  <c r="C11" i="29"/>
  <c r="H5" i="29"/>
  <c r="H6" i="29"/>
  <c r="H7" i="29"/>
  <c r="H8" i="29"/>
  <c r="P5" i="29"/>
  <c r="P6" i="29"/>
  <c r="P7" i="29"/>
  <c r="P8" i="29"/>
  <c r="K9" i="29"/>
  <c r="L9" i="29"/>
  <c r="M9" i="29"/>
  <c r="N9" i="29"/>
  <c r="I13" i="43" l="1"/>
  <c r="K10" i="40"/>
  <c r="N10" i="40"/>
  <c r="J10" i="40"/>
  <c r="M10" i="40"/>
  <c r="I10" i="40"/>
  <c r="L10" i="40"/>
  <c r="H10" i="40"/>
  <c r="Q5" i="29" a="1"/>
  <c r="Q6" i="29" s="1"/>
  <c r="G6" i="29" s="1"/>
  <c r="K17" i="16"/>
  <c r="K18" i="16"/>
  <c r="K19" i="16"/>
  <c r="K20" i="16"/>
  <c r="K21" i="16"/>
  <c r="K22" i="16"/>
  <c r="K23" i="16"/>
  <c r="K24" i="16"/>
  <c r="Q5" i="29" l="1"/>
  <c r="G5" i="29" s="1"/>
  <c r="Q8" i="29"/>
  <c r="G8" i="29" s="1"/>
  <c r="Q7" i="29"/>
  <c r="G7" i="29" s="1"/>
  <c r="C2" i="16"/>
  <c r="L17" i="16"/>
  <c r="L18" i="16"/>
  <c r="L19" i="16"/>
  <c r="L20" i="16"/>
  <c r="L21" i="16"/>
  <c r="L22" i="16"/>
  <c r="L23" i="16"/>
  <c r="L24" i="16"/>
  <c r="C25" i="16"/>
  <c r="D25" i="16"/>
  <c r="E25" i="16"/>
  <c r="F25" i="16"/>
  <c r="G25" i="16"/>
  <c r="H25" i="16"/>
  <c r="I25" i="16"/>
  <c r="J25" i="16"/>
  <c r="D13" i="19"/>
  <c r="E13" i="19"/>
  <c r="F13" i="19"/>
  <c r="G13" i="19"/>
  <c r="H13" i="19"/>
  <c r="C2" i="19"/>
  <c r="J14" i="24"/>
  <c r="K14" i="24"/>
  <c r="D14" i="24" s="1"/>
  <c r="L14" i="24"/>
  <c r="E14" i="24" s="1"/>
  <c r="M14" i="24"/>
  <c r="F14" i="24" s="1"/>
  <c r="J15" i="24"/>
  <c r="J16" i="24" s="1"/>
  <c r="J17" i="24" s="1"/>
  <c r="J18" i="24" s="1"/>
  <c r="J19" i="24" s="1"/>
  <c r="N6" i="24"/>
  <c r="N7" i="24"/>
  <c r="N8" i="24"/>
  <c r="N9" i="24"/>
  <c r="N10" i="24"/>
  <c r="N11" i="24"/>
  <c r="G6" i="24"/>
  <c r="G7" i="24"/>
  <c r="G8" i="24"/>
  <c r="G9" i="24"/>
  <c r="G10" i="24"/>
  <c r="G11" i="24"/>
  <c r="I6" i="12"/>
  <c r="I7" i="12"/>
  <c r="I8" i="12"/>
  <c r="I9" i="12"/>
  <c r="I10" i="12"/>
  <c r="I11" i="12"/>
  <c r="C2" i="12"/>
  <c r="D2" i="42"/>
  <c r="B2" i="42"/>
  <c r="B6" i="42"/>
  <c r="C6" i="42"/>
  <c r="D6" i="42"/>
  <c r="E3" i="42"/>
  <c r="E4" i="42"/>
  <c r="E5" i="42"/>
  <c r="D7" i="14"/>
  <c r="E7" i="14"/>
  <c r="D2" i="14"/>
  <c r="E5" i="3"/>
  <c r="E4" i="3"/>
  <c r="C5" i="3"/>
  <c r="C4" i="3"/>
  <c r="K15" i="24" l="1"/>
  <c r="D15" i="24" s="1"/>
  <c r="M15" i="24"/>
  <c r="F15" i="24" s="1"/>
  <c r="L15" i="24"/>
  <c r="C15" i="24"/>
  <c r="C14" i="24"/>
  <c r="E6" i="42"/>
  <c r="C15" i="43"/>
  <c r="M16" i="24" l="1"/>
  <c r="F16" i="24" s="1"/>
  <c r="K16" i="24"/>
  <c r="D16" i="24" s="1"/>
  <c r="E15" i="24"/>
  <c r="L16" i="24"/>
  <c r="C16" i="24"/>
  <c r="D4" i="1"/>
  <c r="M17" i="24" l="1"/>
  <c r="M18" i="24" s="1"/>
  <c r="K17" i="24"/>
  <c r="D17" i="24" s="1"/>
  <c r="L17" i="24"/>
  <c r="E16" i="24"/>
  <c r="C17" i="24"/>
  <c r="F17" i="24" l="1"/>
  <c r="K18" i="24"/>
  <c r="D18" i="24" s="1"/>
  <c r="F18" i="24"/>
  <c r="M19" i="24"/>
  <c r="F19" i="24" s="1"/>
  <c r="L18" i="24"/>
  <c r="E17" i="24"/>
  <c r="C18" i="24"/>
  <c r="C19" i="24"/>
  <c r="K19" i="24" l="1"/>
  <c r="D19" i="24" s="1"/>
  <c r="E18" i="24"/>
  <c r="L19" i="24"/>
  <c r="E19" i="24" s="1"/>
  <c r="N2" i="24" l="1"/>
</calcChain>
</file>

<file path=xl/sharedStrings.xml><?xml version="1.0" encoding="utf-8"?>
<sst xmlns="http://schemas.openxmlformats.org/spreadsheetml/2006/main" count="247" uniqueCount="216">
  <si>
    <r>
      <rPr>
        <sz val="11"/>
        <rFont val="標楷體"/>
        <family val="4"/>
        <charset val="136"/>
      </rPr>
      <t>玩具的利潤</t>
    </r>
    <r>
      <rPr>
        <sz val="11"/>
        <rFont val="Times New Roman"/>
        <family val="1"/>
      </rPr>
      <t>@</t>
    </r>
  </si>
  <si>
    <r>
      <rPr>
        <sz val="11"/>
        <rFont val="標楷體"/>
        <family val="4"/>
        <charset val="136"/>
      </rPr>
      <t>工作項目</t>
    </r>
    <phoneticPr fontId="38" type="noConversion"/>
  </si>
  <si>
    <r>
      <rPr>
        <sz val="11"/>
        <rFont val="標楷體"/>
        <family val="4"/>
        <charset val="136"/>
      </rPr>
      <t>江世芬</t>
    </r>
    <phoneticPr fontId="38" type="noConversion"/>
  </si>
  <si>
    <r>
      <rPr>
        <sz val="11"/>
        <rFont val="標楷體"/>
        <family val="4"/>
        <charset val="136"/>
      </rPr>
      <t>黃文德</t>
    </r>
    <phoneticPr fontId="38" type="noConversion"/>
  </si>
  <si>
    <r>
      <rPr>
        <sz val="11"/>
        <rFont val="標楷體"/>
        <family val="4"/>
        <charset val="136"/>
      </rPr>
      <t>陳和其</t>
    </r>
    <phoneticPr fontId="38" type="noConversion"/>
  </si>
  <si>
    <r>
      <rPr>
        <sz val="11"/>
        <rFont val="標楷體"/>
        <family val="4"/>
        <charset val="136"/>
      </rPr>
      <t>呂孔德</t>
    </r>
    <phoneticPr fontId="38" type="noConversion"/>
  </si>
  <si>
    <r>
      <rPr>
        <sz val="11"/>
        <rFont val="標楷體"/>
        <family val="4"/>
        <charset val="136"/>
      </rPr>
      <t>王莉婷</t>
    </r>
    <phoneticPr fontId="38" type="noConversion"/>
  </si>
  <si>
    <r>
      <rPr>
        <sz val="11"/>
        <rFont val="標楷體"/>
        <family val="4"/>
        <charset val="136"/>
      </rPr>
      <t>賴文賢</t>
    </r>
    <phoneticPr fontId="38" type="noConversion"/>
  </si>
  <si>
    <r>
      <rPr>
        <sz val="11"/>
        <rFont val="標楷體"/>
        <family val="4"/>
        <charset val="136"/>
      </rPr>
      <t>楊佑偵</t>
    </r>
    <phoneticPr fontId="38" type="noConversion"/>
  </si>
  <si>
    <r>
      <rPr>
        <sz val="11"/>
        <rFont val="標楷體"/>
        <family val="4"/>
        <charset val="136"/>
      </rPr>
      <t>陳國桂</t>
    </r>
    <phoneticPr fontId="38" type="noConversion"/>
  </si>
  <si>
    <t>成本表</t>
    <phoneticPr fontId="31" type="noConversion"/>
  </si>
  <si>
    <r>
      <rPr>
        <b/>
        <sz val="11"/>
        <color rgb="FF0000FF"/>
        <rFont val="微軟正黑體"/>
        <family val="2"/>
        <charset val="136"/>
      </rPr>
      <t>試算分析表</t>
    </r>
    <phoneticPr fontId="31" type="noConversion"/>
  </si>
  <si>
    <t>yPod</t>
    <phoneticPr fontId="31" type="noConversion"/>
  </si>
  <si>
    <t>xPod</t>
    <phoneticPr fontId="31" type="noConversion"/>
  </si>
  <si>
    <t>qPod</t>
    <phoneticPr fontId="31" type="noConversion"/>
  </si>
  <si>
    <t>aPod</t>
    <phoneticPr fontId="31" type="noConversion"/>
  </si>
  <si>
    <r>
      <rPr>
        <sz val="11"/>
        <rFont val="標楷體"/>
        <family val="4"/>
        <charset val="136"/>
      </rPr>
      <t>需求量</t>
    </r>
    <phoneticPr fontId="31" type="noConversion"/>
  </si>
  <si>
    <r>
      <rPr>
        <sz val="11"/>
        <rFont val="標楷體"/>
        <family val="4"/>
        <charset val="136"/>
      </rPr>
      <t>一月</t>
    </r>
    <phoneticPr fontId="31" type="noConversion"/>
  </si>
  <si>
    <r>
      <rPr>
        <sz val="11"/>
        <rFont val="標楷體"/>
        <family val="4"/>
        <charset val="136"/>
      </rPr>
      <t>二月</t>
    </r>
    <phoneticPr fontId="31" type="noConversion"/>
  </si>
  <si>
    <r>
      <rPr>
        <sz val="11"/>
        <rFont val="標楷體"/>
        <family val="4"/>
        <charset val="136"/>
      </rPr>
      <t>三月</t>
    </r>
    <phoneticPr fontId="31" type="noConversion"/>
  </si>
  <si>
    <r>
      <rPr>
        <sz val="11"/>
        <rFont val="標楷體"/>
        <family val="4"/>
        <charset val="136"/>
      </rPr>
      <t>四月</t>
    </r>
    <phoneticPr fontId="31" type="noConversion"/>
  </si>
  <si>
    <r>
      <rPr>
        <sz val="11"/>
        <rFont val="標楷體"/>
        <family val="4"/>
        <charset val="136"/>
      </rPr>
      <t>五月</t>
    </r>
    <phoneticPr fontId="31" type="noConversion"/>
  </si>
  <si>
    <r>
      <rPr>
        <sz val="11"/>
        <rFont val="標楷體"/>
        <family val="4"/>
        <charset val="136"/>
      </rPr>
      <t>六月</t>
    </r>
    <phoneticPr fontId="31" type="noConversion"/>
  </si>
  <si>
    <r>
      <rPr>
        <sz val="11"/>
        <rFont val="標楷體"/>
        <family val="4"/>
        <charset val="136"/>
      </rPr>
      <t>生產成本</t>
    </r>
    <r>
      <rPr>
        <sz val="11"/>
        <rFont val="Times New Roman"/>
        <family val="1"/>
      </rPr>
      <t>/</t>
    </r>
    <r>
      <rPr>
        <sz val="11"/>
        <rFont val="標楷體"/>
        <family val="4"/>
        <charset val="136"/>
      </rPr>
      <t>台</t>
    </r>
    <phoneticPr fontId="31" type="noConversion"/>
  </si>
  <si>
    <r>
      <rPr>
        <sz val="11"/>
        <rFont val="標楷體"/>
        <family val="4"/>
        <charset val="136"/>
      </rPr>
      <t>星期日</t>
    </r>
  </si>
  <si>
    <r>
      <rPr>
        <sz val="11"/>
        <rFont val="標楷體"/>
        <family val="4"/>
        <charset val="136"/>
      </rPr>
      <t>星期一</t>
    </r>
  </si>
  <si>
    <r>
      <rPr>
        <sz val="11"/>
        <rFont val="標楷體"/>
        <family val="4"/>
        <charset val="136"/>
      </rPr>
      <t>星期二</t>
    </r>
  </si>
  <si>
    <r>
      <rPr>
        <sz val="11"/>
        <rFont val="標楷體"/>
        <family val="4"/>
        <charset val="136"/>
      </rPr>
      <t>星期三</t>
    </r>
  </si>
  <si>
    <r>
      <rPr>
        <sz val="11"/>
        <rFont val="標楷體"/>
        <family val="4"/>
        <charset val="136"/>
      </rPr>
      <t>星期四</t>
    </r>
  </si>
  <si>
    <r>
      <rPr>
        <sz val="11"/>
        <rFont val="標楷體"/>
        <family val="4"/>
        <charset val="136"/>
      </rPr>
      <t>星期五</t>
    </r>
  </si>
  <si>
    <r>
      <rPr>
        <sz val="11"/>
        <rFont val="標楷體"/>
        <family val="4"/>
        <charset val="136"/>
      </rPr>
      <t>星期六</t>
    </r>
  </si>
  <si>
    <t>工廠每月最高產能：</t>
    <phoneticPr fontId="31" type="noConversion"/>
  </si>
  <si>
    <t>工廠每月最低產能：</t>
    <phoneticPr fontId="31" type="noConversion"/>
  </si>
  <si>
    <r>
      <rPr>
        <b/>
        <sz val="11"/>
        <color theme="0"/>
        <rFont val="標楷體"/>
        <family val="2"/>
        <charset val="136"/>
      </rPr>
      <t>變數</t>
    </r>
    <r>
      <rPr>
        <b/>
        <sz val="11"/>
        <color theme="0"/>
        <rFont val="Times New Roman"/>
        <family val="1"/>
      </rPr>
      <t xml:space="preserve"> X</t>
    </r>
    <phoneticPr fontId="3" type="noConversion"/>
  </si>
  <si>
    <r>
      <rPr>
        <b/>
        <sz val="11"/>
        <color theme="0"/>
        <rFont val="標楷體"/>
        <family val="2"/>
        <charset val="136"/>
      </rPr>
      <t>變數</t>
    </r>
    <r>
      <rPr>
        <b/>
        <sz val="11"/>
        <color theme="0"/>
        <rFont val="Times New Roman"/>
        <family val="1"/>
      </rPr>
      <t xml:space="preserve"> Y</t>
    </r>
    <phoneticPr fontId="3" type="noConversion"/>
  </si>
  <si>
    <t>公式</t>
    <phoneticPr fontId="3" type="noConversion"/>
  </si>
  <si>
    <t>總計利潤：</t>
    <phoneticPr fontId="3" type="noConversion"/>
  </si>
  <si>
    <r>
      <rPr>
        <sz val="11"/>
        <rFont val="標楷體"/>
        <family val="4"/>
        <charset val="136"/>
      </rPr>
      <t>遊戲機</t>
    </r>
    <phoneticPr fontId="31" type="noConversion"/>
  </si>
  <si>
    <r>
      <rPr>
        <sz val="11"/>
        <rFont val="標楷體"/>
        <family val="4"/>
        <charset val="136"/>
      </rPr>
      <t>每台利潤</t>
    </r>
    <phoneticPr fontId="31" type="noConversion"/>
  </si>
  <si>
    <r>
      <rPr>
        <sz val="11"/>
        <rFont val="標楷體"/>
        <family val="4"/>
        <charset val="136"/>
      </rPr>
      <t>裝配工時</t>
    </r>
    <phoneticPr fontId="31" type="noConversion"/>
  </si>
  <si>
    <r>
      <rPr>
        <sz val="11"/>
        <rFont val="標楷體"/>
        <family val="4"/>
        <charset val="136"/>
      </rPr>
      <t>測試工時</t>
    </r>
    <phoneticPr fontId="31" type="noConversion"/>
  </si>
  <si>
    <t>X-Box</t>
    <phoneticPr fontId="31" type="noConversion"/>
  </si>
  <si>
    <t>Y-Box</t>
    <phoneticPr fontId="31" type="noConversion"/>
  </si>
  <si>
    <t>每月工時限制：</t>
    <phoneticPr fontId="31" type="noConversion"/>
  </si>
  <si>
    <r>
      <rPr>
        <sz val="11"/>
        <rFont val="標楷體"/>
        <family val="4"/>
        <charset val="136"/>
      </rPr>
      <t>各種玩具所需材料的數量</t>
    </r>
    <phoneticPr fontId="31" type="noConversion"/>
  </si>
  <si>
    <t>材料統計資料</t>
    <phoneticPr fontId="3" type="noConversion"/>
  </si>
  <si>
    <r>
      <rPr>
        <sz val="11"/>
        <rFont val="標楷體"/>
        <family val="4"/>
        <charset val="136"/>
      </rPr>
      <t>材料名稱</t>
    </r>
    <phoneticPr fontId="31" type="noConversion"/>
  </si>
  <si>
    <r>
      <rPr>
        <sz val="11"/>
        <rFont val="標楷體"/>
        <family val="4"/>
        <charset val="136"/>
      </rPr>
      <t>玩具</t>
    </r>
    <r>
      <rPr>
        <sz val="11"/>
        <rFont val="Times New Roman"/>
        <family val="1"/>
      </rPr>
      <t xml:space="preserve"> A</t>
    </r>
    <phoneticPr fontId="31" type="noConversion"/>
  </si>
  <si>
    <r>
      <rPr>
        <sz val="11"/>
        <rFont val="標楷體"/>
        <family val="4"/>
        <charset val="136"/>
      </rPr>
      <t>玩具</t>
    </r>
    <r>
      <rPr>
        <sz val="11"/>
        <rFont val="Times New Roman"/>
        <family val="1"/>
      </rPr>
      <t xml:space="preserve"> B</t>
    </r>
    <phoneticPr fontId="31" type="noConversion"/>
  </si>
  <si>
    <r>
      <rPr>
        <sz val="11"/>
        <rFont val="標楷體"/>
        <family val="4"/>
        <charset val="136"/>
      </rPr>
      <t>玩具</t>
    </r>
    <r>
      <rPr>
        <sz val="11"/>
        <rFont val="Times New Roman"/>
        <family val="1"/>
      </rPr>
      <t xml:space="preserve"> C</t>
    </r>
    <phoneticPr fontId="31" type="noConversion"/>
  </si>
  <si>
    <r>
      <rPr>
        <sz val="11"/>
        <rFont val="標楷體"/>
        <family val="4"/>
        <charset val="136"/>
      </rPr>
      <t>玩具</t>
    </r>
    <r>
      <rPr>
        <sz val="11"/>
        <rFont val="Times New Roman"/>
        <family val="1"/>
      </rPr>
      <t xml:space="preserve"> D</t>
    </r>
    <phoneticPr fontId="31" type="noConversion"/>
  </si>
  <si>
    <r>
      <rPr>
        <sz val="11"/>
        <rFont val="標楷體"/>
        <family val="4"/>
        <charset val="136"/>
      </rPr>
      <t>玩具</t>
    </r>
    <r>
      <rPr>
        <sz val="11"/>
        <rFont val="Times New Roman"/>
        <family val="1"/>
      </rPr>
      <t xml:space="preserve"> E</t>
    </r>
    <phoneticPr fontId="31" type="noConversion"/>
  </si>
  <si>
    <r>
      <rPr>
        <sz val="11"/>
        <rFont val="標楷體"/>
        <family val="4"/>
        <charset val="136"/>
      </rPr>
      <t>庫存材料數量</t>
    </r>
    <phoneticPr fontId="31" type="noConversion"/>
  </si>
  <si>
    <t>顏料（罐）</t>
    <phoneticPr fontId="28" type="noConversion"/>
  </si>
  <si>
    <r>
      <t>L</t>
    </r>
    <r>
      <rPr>
        <sz val="11"/>
        <rFont val="標楷體"/>
        <family val="4"/>
        <charset val="136"/>
      </rPr>
      <t>型小鋼板（罐）</t>
    </r>
    <phoneticPr fontId="28" type="noConversion"/>
  </si>
  <si>
    <t>螺絲（包）</t>
    <phoneticPr fontId="28" type="noConversion"/>
  </si>
  <si>
    <r>
      <rPr>
        <sz val="11"/>
        <rFont val="標楷體"/>
        <family val="4"/>
        <charset val="136"/>
      </rPr>
      <t>合成塑膠</t>
    </r>
    <r>
      <rPr>
        <sz val="11"/>
        <color theme="1"/>
        <rFont val="標楷體"/>
        <family val="4"/>
        <charset val="136"/>
      </rPr>
      <t>（</t>
    </r>
    <r>
      <rPr>
        <sz val="11"/>
        <rFont val="標楷體"/>
        <family val="4"/>
        <charset val="136"/>
      </rPr>
      <t>個</t>
    </r>
    <r>
      <rPr>
        <sz val="11"/>
        <color theme="1"/>
        <rFont val="標楷體"/>
        <family val="4"/>
        <charset val="136"/>
      </rPr>
      <t>）</t>
    </r>
    <phoneticPr fontId="28" type="noConversion"/>
  </si>
  <si>
    <r>
      <rPr>
        <sz val="11"/>
        <rFont val="標楷體"/>
        <family val="4"/>
        <charset val="136"/>
      </rPr>
      <t>實心木材</t>
    </r>
    <r>
      <rPr>
        <sz val="11"/>
        <color theme="1"/>
        <rFont val="標楷體"/>
        <family val="4"/>
        <charset val="136"/>
      </rPr>
      <t>（</t>
    </r>
    <r>
      <rPr>
        <sz val="11"/>
        <rFont val="標楷體"/>
        <family val="4"/>
        <charset val="136"/>
      </rPr>
      <t>塊</t>
    </r>
    <r>
      <rPr>
        <sz val="11"/>
        <color theme="1"/>
        <rFont val="標楷體"/>
        <family val="4"/>
        <charset val="136"/>
      </rPr>
      <t>）</t>
    </r>
    <phoneticPr fontId="28" type="noConversion"/>
  </si>
  <si>
    <t>黏著劑（瓶）</t>
    <phoneticPr fontId="28" type="noConversion"/>
  </si>
  <si>
    <t>每年投入資金</t>
    <phoneticPr fontId="31" type="noConversion"/>
  </si>
  <si>
    <r>
      <rPr>
        <sz val="11"/>
        <rFont val="標楷體"/>
        <family val="4"/>
        <charset val="136"/>
      </rPr>
      <t>投資標的</t>
    </r>
    <phoneticPr fontId="31" type="noConversion"/>
  </si>
  <si>
    <r>
      <rPr>
        <sz val="11"/>
        <rFont val="標楷體"/>
        <family val="4"/>
        <charset val="136"/>
      </rPr>
      <t>可獲報酬</t>
    </r>
    <phoneticPr fontId="31" type="noConversion"/>
  </si>
  <si>
    <r>
      <rPr>
        <sz val="11"/>
        <rFont val="標楷體"/>
        <family val="4"/>
        <charset val="136"/>
      </rPr>
      <t>第一年資金</t>
    </r>
    <phoneticPr fontId="31" type="noConversion"/>
  </si>
  <si>
    <r>
      <rPr>
        <sz val="11"/>
        <rFont val="標楷體"/>
        <family val="4"/>
        <charset val="136"/>
      </rPr>
      <t>第二年資金</t>
    </r>
    <phoneticPr fontId="31" type="noConversion"/>
  </si>
  <si>
    <r>
      <rPr>
        <sz val="11"/>
        <rFont val="標楷體"/>
        <family val="4"/>
        <charset val="136"/>
      </rPr>
      <t>第三年資金</t>
    </r>
    <phoneticPr fontId="31" type="noConversion"/>
  </si>
  <si>
    <r>
      <rPr>
        <sz val="11"/>
        <rFont val="標楷體"/>
        <family val="4"/>
        <charset val="136"/>
      </rPr>
      <t>第四年資金</t>
    </r>
    <phoneticPr fontId="31" type="noConversion"/>
  </si>
  <si>
    <r>
      <rPr>
        <sz val="11"/>
        <rFont val="標楷體"/>
        <family val="4"/>
        <charset val="136"/>
      </rPr>
      <t>第五年資金</t>
    </r>
    <phoneticPr fontId="31" type="noConversion"/>
  </si>
  <si>
    <t>1. 公營事業</t>
    <phoneticPr fontId="31" type="noConversion"/>
  </si>
  <si>
    <t>2. 政府公債</t>
    <phoneticPr fontId="31" type="noConversion"/>
  </si>
  <si>
    <t>3. 資訊科技類股</t>
    <phoneticPr fontId="31" type="noConversion"/>
  </si>
  <si>
    <t>4. 石化工業</t>
    <phoneticPr fontId="31" type="noConversion"/>
  </si>
  <si>
    <t>5. 銀行金融服務</t>
    <phoneticPr fontId="31" type="noConversion"/>
  </si>
  <si>
    <t>6. 汽車類股</t>
    <phoneticPr fontId="31" type="noConversion"/>
  </si>
  <si>
    <t>7. 海外基金</t>
    <phoneticPr fontId="31" type="noConversion"/>
  </si>
  <si>
    <t>實際總成本</t>
    <phoneticPr fontId="31" type="noConversion"/>
  </si>
  <si>
    <r>
      <rPr>
        <sz val="11"/>
        <rFont val="標楷體"/>
        <family val="4"/>
        <charset val="136"/>
      </rPr>
      <t>工作項目</t>
    </r>
    <phoneticPr fontId="38" type="noConversion"/>
  </si>
  <si>
    <t>負責人</t>
    <phoneticPr fontId="3" type="noConversion"/>
  </si>
  <si>
    <t>1.產品檢查</t>
    <phoneticPr fontId="38" type="noConversion"/>
  </si>
  <si>
    <t>2.消毒殺菌</t>
    <phoneticPr fontId="38" type="noConversion"/>
  </si>
  <si>
    <t>3.過濾清潔</t>
    <phoneticPr fontId="38" type="noConversion"/>
  </si>
  <si>
    <t>4.品管</t>
    <phoneticPr fontId="38" type="noConversion"/>
  </si>
  <si>
    <t>5.封口壓蓋</t>
    <phoneticPr fontId="31" type="noConversion"/>
  </si>
  <si>
    <t>6.瓶裝標籤</t>
    <phoneticPr fontId="31" type="noConversion"/>
  </si>
  <si>
    <t>7.裝箱封條</t>
    <phoneticPr fontId="31" type="noConversion"/>
  </si>
  <si>
    <t>8.運送</t>
    <phoneticPr fontId="38" type="noConversion"/>
  </si>
  <si>
    <t>每單位所需人工時數（原始規劃）</t>
    <phoneticPr fontId="28" type="noConversion"/>
  </si>
  <si>
    <t>部門間之人力資源支援轉換表</t>
    <phoneticPr fontId="28" type="noConversion"/>
  </si>
  <si>
    <r>
      <rPr>
        <sz val="11"/>
        <rFont val="標楷體"/>
        <family val="4"/>
        <charset val="136"/>
      </rPr>
      <t>部門</t>
    </r>
    <phoneticPr fontId="28" type="noConversion"/>
  </si>
  <si>
    <r>
      <t xml:space="preserve">A </t>
    </r>
    <r>
      <rPr>
        <sz val="11"/>
        <rFont val="標楷體"/>
        <family val="4"/>
        <charset val="136"/>
      </rPr>
      <t>產品</t>
    </r>
    <phoneticPr fontId="28" type="noConversion"/>
  </si>
  <si>
    <r>
      <t xml:space="preserve">B </t>
    </r>
    <r>
      <rPr>
        <sz val="11"/>
        <rFont val="標楷體"/>
        <family val="4"/>
        <charset val="136"/>
      </rPr>
      <t>產品</t>
    </r>
    <phoneticPr fontId="28" type="noConversion"/>
  </si>
  <si>
    <r>
      <t xml:space="preserve">C </t>
    </r>
    <r>
      <rPr>
        <sz val="11"/>
        <rFont val="標楷體"/>
        <family val="4"/>
        <charset val="136"/>
      </rPr>
      <t>產品</t>
    </r>
    <phoneticPr fontId="28" type="noConversion"/>
  </si>
  <si>
    <r>
      <rPr>
        <sz val="11"/>
        <rFont val="標楷體"/>
        <family val="4"/>
        <charset val="136"/>
      </rPr>
      <t>可使用總工時</t>
    </r>
    <phoneticPr fontId="28" type="noConversion"/>
  </si>
  <si>
    <t>調度後
可使用總工時</t>
    <phoneticPr fontId="28" type="noConversion"/>
  </si>
  <si>
    <t>實際總工時</t>
    <phoneticPr fontId="28" type="noConversion"/>
  </si>
  <si>
    <r>
      <rPr>
        <sz val="11"/>
        <rFont val="標楷體"/>
        <family val="4"/>
        <charset val="136"/>
      </rPr>
      <t>轉入部門</t>
    </r>
    <phoneticPr fontId="28" type="noConversion"/>
  </si>
  <si>
    <t>可轉出
工時上限</t>
    <phoneticPr fontId="28" type="noConversion"/>
  </si>
  <si>
    <r>
      <rPr>
        <sz val="11"/>
        <rFont val="標楷體"/>
        <family val="4"/>
        <charset val="136"/>
      </rPr>
      <t>製造部門</t>
    </r>
    <phoneticPr fontId="28" type="noConversion"/>
  </si>
  <si>
    <r>
      <rPr>
        <sz val="11"/>
        <rFont val="標楷體"/>
        <family val="4"/>
        <charset val="136"/>
      </rPr>
      <t>測試部門</t>
    </r>
    <phoneticPr fontId="28" type="noConversion"/>
  </si>
  <si>
    <r>
      <rPr>
        <sz val="11"/>
        <rFont val="標楷體"/>
        <family val="4"/>
        <charset val="136"/>
      </rPr>
      <t>品管部門</t>
    </r>
    <phoneticPr fontId="28" type="noConversion"/>
  </si>
  <si>
    <r>
      <rPr>
        <sz val="11"/>
        <rFont val="標楷體"/>
        <family val="4"/>
        <charset val="136"/>
      </rPr>
      <t>封裝部門</t>
    </r>
    <phoneticPr fontId="28" type="noConversion"/>
  </si>
  <si>
    <r>
      <rPr>
        <sz val="11"/>
        <rFont val="標楷體"/>
        <family val="4"/>
        <charset val="136"/>
      </rPr>
      <t>單位利潤</t>
    </r>
    <phoneticPr fontId="28" type="noConversion"/>
  </si>
  <si>
    <t>轉入工時</t>
    <phoneticPr fontId="3" type="noConversion"/>
  </si>
  <si>
    <r>
      <rPr>
        <sz val="11"/>
        <rFont val="標楷體"/>
        <family val="4"/>
        <charset val="136"/>
      </rPr>
      <t>星期</t>
    </r>
    <phoneticPr fontId="28" type="noConversion"/>
  </si>
  <si>
    <t>當日人力需求（人）</t>
    <phoneticPr fontId="28" type="noConversion"/>
  </si>
  <si>
    <t>每週
人事費用</t>
  </si>
  <si>
    <t>班別</t>
    <phoneticPr fontId="28" type="noConversion"/>
  </si>
  <si>
    <r>
      <rPr>
        <sz val="11"/>
        <rFont val="標楷體"/>
        <family val="4"/>
        <charset val="136"/>
      </rPr>
      <t>輪休</t>
    </r>
    <phoneticPr fontId="28" type="noConversion"/>
  </si>
  <si>
    <t>僱用員工數</t>
    <phoneticPr fontId="3" type="noConversion"/>
  </si>
  <si>
    <t>A</t>
    <phoneticPr fontId="3" type="noConversion"/>
  </si>
  <si>
    <t>星期日﹑一</t>
    <phoneticPr fontId="28" type="noConversion"/>
  </si>
  <si>
    <t>B</t>
    <phoneticPr fontId="3" type="noConversion"/>
  </si>
  <si>
    <r>
      <rPr>
        <sz val="11"/>
        <rFont val="標楷體"/>
        <family val="4"/>
        <charset val="136"/>
      </rPr>
      <t>星期一﹑二</t>
    </r>
    <phoneticPr fontId="28" type="noConversion"/>
  </si>
  <si>
    <t>C</t>
    <phoneticPr fontId="3" type="noConversion"/>
  </si>
  <si>
    <r>
      <rPr>
        <sz val="11"/>
        <rFont val="標楷體"/>
        <family val="4"/>
        <charset val="136"/>
      </rPr>
      <t>星期二﹑三</t>
    </r>
    <phoneticPr fontId="28" type="noConversion"/>
  </si>
  <si>
    <t>D</t>
    <phoneticPr fontId="3" type="noConversion"/>
  </si>
  <si>
    <r>
      <rPr>
        <sz val="11"/>
        <rFont val="標楷體"/>
        <family val="4"/>
        <charset val="136"/>
      </rPr>
      <t>星期三﹑四</t>
    </r>
    <phoneticPr fontId="28" type="noConversion"/>
  </si>
  <si>
    <t>E</t>
    <phoneticPr fontId="3" type="noConversion"/>
  </si>
  <si>
    <r>
      <rPr>
        <sz val="11"/>
        <rFont val="標楷體"/>
        <family val="4"/>
        <charset val="136"/>
      </rPr>
      <t>星期四﹑五</t>
    </r>
    <phoneticPr fontId="28" type="noConversion"/>
  </si>
  <si>
    <t>F</t>
    <phoneticPr fontId="3" type="noConversion"/>
  </si>
  <si>
    <r>
      <rPr>
        <sz val="11"/>
        <rFont val="標楷體"/>
        <family val="4"/>
        <charset val="136"/>
      </rPr>
      <t>星期五﹑六</t>
    </r>
    <phoneticPr fontId="28" type="noConversion"/>
  </si>
  <si>
    <t>G</t>
    <phoneticPr fontId="3" type="noConversion"/>
  </si>
  <si>
    <r>
      <rPr>
        <sz val="11"/>
        <rFont val="標楷體"/>
        <family val="4"/>
        <charset val="136"/>
      </rPr>
      <t>星期六﹑日</t>
    </r>
    <phoneticPr fontId="28" type="noConversion"/>
  </si>
  <si>
    <t>僱用員工合計</t>
    <phoneticPr fontId="3" type="noConversion"/>
  </si>
  <si>
    <r>
      <rPr>
        <sz val="11"/>
        <rFont val="標楷體"/>
        <family val="4"/>
        <charset val="136"/>
      </rPr>
      <t>每月最低產量</t>
    </r>
    <phoneticPr fontId="31" type="noConversion"/>
  </si>
  <si>
    <t>總利潤</t>
  </si>
  <si>
    <t>實際
轉出工時</t>
    <phoneticPr fontId="3" type="noConversion"/>
  </si>
  <si>
    <t>實際
轉入工時</t>
    <phoneticPr fontId="3" type="noConversion"/>
  </si>
  <si>
    <t>分店編號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</si>
  <si>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</si>
  <si>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</si>
  <si>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</si>
  <si>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</si>
  <si>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</si>
  <si>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</si>
  <si>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</si>
  <si>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</si>
  <si>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</si>
  <si>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</si>
  <si>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</si>
  <si>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L</t>
    <phoneticPr fontId="3" type="noConversion"/>
  </si>
  <si>
    <t>營業額（萬）</t>
    <phoneticPr fontId="3" type="noConversion"/>
  </si>
  <si>
    <t>組別</t>
    <phoneticPr fontId="3" type="noConversion"/>
  </si>
  <si>
    <t>第一組</t>
    <phoneticPr fontId="3" type="noConversion"/>
  </si>
  <si>
    <t>第二組</t>
    <phoneticPr fontId="3" type="noConversion"/>
  </si>
  <si>
    <t>第三組</t>
    <phoneticPr fontId="3" type="noConversion"/>
  </si>
  <si>
    <t>第四組</t>
    <phoneticPr fontId="3" type="noConversion"/>
  </si>
  <si>
    <t>分店營業額</t>
    <phoneticPr fontId="3" type="noConversion"/>
  </si>
  <si>
    <t>分店數量</t>
    <phoneticPr fontId="3" type="noConversion"/>
  </si>
  <si>
    <t>每月實際工時：</t>
    <phoneticPr fontId="31" type="noConversion"/>
  </si>
  <si>
    <r>
      <rPr>
        <sz val="11"/>
        <color rgb="FFFF0000"/>
        <rFont val="標楷體"/>
        <family val="4"/>
        <charset val="136"/>
      </rPr>
      <t>生產數量</t>
    </r>
    <phoneticPr fontId="31" type="noConversion"/>
  </si>
  <si>
    <r>
      <rPr>
        <sz val="11"/>
        <color rgb="FF008000"/>
        <rFont val="標楷體"/>
        <family val="4"/>
        <charset val="136"/>
      </rPr>
      <t>材料剩餘數量</t>
    </r>
  </si>
  <si>
    <r>
      <rPr>
        <sz val="11"/>
        <color rgb="FFFF0000"/>
        <rFont val="標楷體"/>
        <family val="4"/>
        <charset val="136"/>
      </rPr>
      <t>玩具製造量</t>
    </r>
  </si>
  <si>
    <t>總成本：</t>
    <phoneticPr fontId="3" type="noConversion"/>
  </si>
  <si>
    <r>
      <rPr>
        <sz val="11"/>
        <color rgb="FF008000"/>
        <rFont val="標楷體"/>
        <family val="4"/>
        <charset val="136"/>
      </rPr>
      <t>成本</t>
    </r>
    <phoneticPr fontId="31" type="noConversion"/>
  </si>
  <si>
    <r>
      <rPr>
        <sz val="11"/>
        <color rgb="FF008000"/>
        <rFont val="標楷體"/>
        <family val="4"/>
        <charset val="136"/>
      </rPr>
      <t>一月</t>
    </r>
    <phoneticPr fontId="31" type="noConversion"/>
  </si>
  <si>
    <r>
      <rPr>
        <sz val="11"/>
        <color rgb="FF008000"/>
        <rFont val="標楷體"/>
        <family val="4"/>
        <charset val="136"/>
      </rPr>
      <t>二月</t>
    </r>
    <phoneticPr fontId="31" type="noConversion"/>
  </si>
  <si>
    <r>
      <rPr>
        <sz val="11"/>
        <color rgb="FF008000"/>
        <rFont val="標楷體"/>
        <family val="4"/>
        <charset val="136"/>
      </rPr>
      <t>三月</t>
    </r>
    <phoneticPr fontId="31" type="noConversion"/>
  </si>
  <si>
    <r>
      <rPr>
        <sz val="11"/>
        <color rgb="FF008000"/>
        <rFont val="標楷體"/>
        <family val="4"/>
        <charset val="136"/>
      </rPr>
      <t>四月</t>
    </r>
    <phoneticPr fontId="31" type="noConversion"/>
  </si>
  <si>
    <r>
      <rPr>
        <sz val="11"/>
        <color rgb="FF008000"/>
        <rFont val="標楷體"/>
        <family val="4"/>
        <charset val="136"/>
      </rPr>
      <t>五月</t>
    </r>
    <phoneticPr fontId="31" type="noConversion"/>
  </si>
  <si>
    <r>
      <rPr>
        <sz val="11"/>
        <color rgb="FF008000"/>
        <rFont val="標楷體"/>
        <family val="4"/>
        <charset val="136"/>
      </rPr>
      <t>六月</t>
    </r>
    <phoneticPr fontId="31" type="noConversion"/>
  </si>
  <si>
    <r>
      <rPr>
        <sz val="11"/>
        <color rgb="FF008000"/>
        <rFont val="標楷體"/>
        <family val="4"/>
        <charset val="136"/>
      </rPr>
      <t>總需求</t>
    </r>
    <phoneticPr fontId="31" type="noConversion"/>
  </si>
  <si>
    <r>
      <rPr>
        <sz val="11"/>
        <color rgb="FF008000"/>
        <rFont val="標楷體"/>
        <family val="4"/>
        <charset val="136"/>
      </rPr>
      <t>總產能</t>
    </r>
    <phoneticPr fontId="31" type="noConversion"/>
  </si>
  <si>
    <r>
      <rPr>
        <sz val="11"/>
        <color rgb="FF008000"/>
        <rFont val="標楷體"/>
        <family val="4"/>
        <charset val="136"/>
      </rPr>
      <t>庫存量</t>
    </r>
    <phoneticPr fontId="31" type="noConversion"/>
  </si>
  <si>
    <r>
      <rPr>
        <sz val="11"/>
        <color rgb="FF008000"/>
        <rFont val="標楷體"/>
        <family val="4"/>
        <charset val="136"/>
      </rPr>
      <t>一月</t>
    </r>
    <phoneticPr fontId="31" type="noConversion"/>
  </si>
  <si>
    <r>
      <rPr>
        <sz val="11"/>
        <color rgb="FF008000"/>
        <rFont val="標楷體"/>
        <family val="4"/>
        <charset val="136"/>
      </rPr>
      <t>二月</t>
    </r>
    <phoneticPr fontId="31" type="noConversion"/>
  </si>
  <si>
    <r>
      <rPr>
        <sz val="11"/>
        <color rgb="FF008000"/>
        <rFont val="標楷體"/>
        <family val="4"/>
        <charset val="136"/>
      </rPr>
      <t>三月</t>
    </r>
    <phoneticPr fontId="31" type="noConversion"/>
  </si>
  <si>
    <r>
      <rPr>
        <sz val="11"/>
        <color rgb="FF008000"/>
        <rFont val="標楷體"/>
        <family val="4"/>
        <charset val="136"/>
      </rPr>
      <t>四月</t>
    </r>
    <phoneticPr fontId="31" type="noConversion"/>
  </si>
  <si>
    <r>
      <rPr>
        <sz val="11"/>
        <color rgb="FF008000"/>
        <rFont val="標楷體"/>
        <family val="4"/>
        <charset val="136"/>
      </rPr>
      <t>五月</t>
    </r>
    <phoneticPr fontId="31" type="noConversion"/>
  </si>
  <si>
    <r>
      <rPr>
        <sz val="11"/>
        <color rgb="FF008000"/>
        <rFont val="標楷體"/>
        <family val="4"/>
        <charset val="136"/>
      </rPr>
      <t>六月</t>
    </r>
    <phoneticPr fontId="31" type="noConversion"/>
  </si>
  <si>
    <r>
      <rPr>
        <sz val="11"/>
        <color rgb="FFFF0000"/>
        <rFont val="標楷體"/>
        <family val="4"/>
        <charset val="136"/>
      </rPr>
      <t>是否投資</t>
    </r>
    <phoneticPr fontId="31" type="noConversion"/>
  </si>
  <si>
    <t>報酬總計：</t>
    <phoneticPr fontId="31" type="noConversion"/>
  </si>
  <si>
    <t>需要資金：</t>
    <phoneticPr fontId="31" type="noConversion"/>
  </si>
  <si>
    <t>可運用資金：</t>
    <phoneticPr fontId="31" type="noConversion"/>
  </si>
  <si>
    <r>
      <rPr>
        <sz val="11"/>
        <color rgb="FF008000"/>
        <rFont val="標楷體"/>
        <family val="4"/>
        <charset val="136"/>
      </rPr>
      <t>統計</t>
    </r>
    <phoneticPr fontId="38" type="noConversion"/>
  </si>
  <si>
    <t>1.產品檢查</t>
    <phoneticPr fontId="38" type="noConversion"/>
  </si>
  <si>
    <t>2.消毒殺菌</t>
    <phoneticPr fontId="38" type="noConversion"/>
  </si>
  <si>
    <t>3.過濾清潔</t>
    <phoneticPr fontId="38" type="noConversion"/>
  </si>
  <si>
    <t>4.品管</t>
    <phoneticPr fontId="38" type="noConversion"/>
  </si>
  <si>
    <t>5.封口壓蓋</t>
    <phoneticPr fontId="31" type="noConversion"/>
  </si>
  <si>
    <t>6.瓶裝標籤</t>
    <phoneticPr fontId="31" type="noConversion"/>
  </si>
  <si>
    <t>7.裝箱封條</t>
    <phoneticPr fontId="31" type="noConversion"/>
  </si>
  <si>
    <t>8.運送</t>
    <phoneticPr fontId="38" type="noConversion"/>
  </si>
  <si>
    <t>X</t>
  </si>
  <si>
    <r>
      <rPr>
        <sz val="11"/>
        <color rgb="FF008000"/>
        <rFont val="標楷體"/>
        <family val="4"/>
        <charset val="136"/>
      </rPr>
      <t>星期日</t>
    </r>
    <phoneticPr fontId="28" type="noConversion"/>
  </si>
  <si>
    <r>
      <rPr>
        <sz val="11"/>
        <color rgb="FF008000"/>
        <rFont val="標楷體"/>
        <family val="4"/>
        <charset val="136"/>
      </rPr>
      <t>星期一</t>
    </r>
    <phoneticPr fontId="28" type="noConversion"/>
  </si>
  <si>
    <r>
      <rPr>
        <sz val="11"/>
        <color rgb="FF008000"/>
        <rFont val="標楷體"/>
        <family val="4"/>
        <charset val="136"/>
      </rPr>
      <t>星期二</t>
    </r>
    <phoneticPr fontId="28" type="noConversion"/>
  </si>
  <si>
    <r>
      <rPr>
        <sz val="11"/>
        <color rgb="FF008000"/>
        <rFont val="標楷體"/>
        <family val="4"/>
        <charset val="136"/>
      </rPr>
      <t>星期三</t>
    </r>
    <phoneticPr fontId="28" type="noConversion"/>
  </si>
  <si>
    <r>
      <rPr>
        <sz val="11"/>
        <color rgb="FF008000"/>
        <rFont val="標楷體"/>
        <family val="4"/>
        <charset val="136"/>
      </rPr>
      <t>星期四</t>
    </r>
    <phoneticPr fontId="28" type="noConversion"/>
  </si>
  <si>
    <r>
      <rPr>
        <sz val="11"/>
        <color rgb="FF008000"/>
        <rFont val="標楷體"/>
        <family val="4"/>
        <charset val="136"/>
      </rPr>
      <t>星期五</t>
    </r>
    <phoneticPr fontId="28" type="noConversion"/>
  </si>
  <si>
    <r>
      <rPr>
        <sz val="11"/>
        <color rgb="FF008000"/>
        <rFont val="標楷體"/>
        <family val="4"/>
        <charset val="136"/>
      </rPr>
      <t>星期六</t>
    </r>
    <phoneticPr fontId="28" type="noConversion"/>
  </si>
  <si>
    <t>標準差：</t>
    <phoneticPr fontId="3" type="noConversion"/>
  </si>
  <si>
    <r>
      <rPr>
        <sz val="11"/>
        <color rgb="FF0000FF"/>
        <rFont val="標楷體"/>
        <family val="4"/>
        <charset val="136"/>
      </rPr>
      <t>全部玩具總利潤</t>
    </r>
  </si>
  <si>
    <r>
      <rPr>
        <sz val="11"/>
        <color rgb="FFFF0000"/>
        <rFont val="標楷體"/>
        <family val="4"/>
        <charset val="136"/>
      </rPr>
      <t>二月</t>
    </r>
    <phoneticPr fontId="31" type="noConversion"/>
  </si>
  <si>
    <r>
      <rPr>
        <sz val="11"/>
        <color rgb="FFFF0000"/>
        <rFont val="標楷體"/>
        <family val="4"/>
        <charset val="136"/>
      </rPr>
      <t>三月</t>
    </r>
    <phoneticPr fontId="31" type="noConversion"/>
  </si>
  <si>
    <r>
      <rPr>
        <sz val="11"/>
        <color rgb="FFFF0000"/>
        <rFont val="標楷體"/>
        <family val="4"/>
        <charset val="136"/>
      </rPr>
      <t>四月</t>
    </r>
    <phoneticPr fontId="31" type="noConversion"/>
  </si>
  <si>
    <r>
      <rPr>
        <sz val="11"/>
        <color rgb="FFFF0000"/>
        <rFont val="標楷體"/>
        <family val="4"/>
        <charset val="136"/>
      </rPr>
      <t>五月</t>
    </r>
    <phoneticPr fontId="31" type="noConversion"/>
  </si>
  <si>
    <r>
      <rPr>
        <sz val="11"/>
        <color rgb="FFFF0000"/>
        <rFont val="標楷體"/>
        <family val="4"/>
        <charset val="136"/>
      </rPr>
      <t>六月</t>
    </r>
    <phoneticPr fontId="31" type="noConversion"/>
  </si>
  <si>
    <r>
      <rPr>
        <sz val="11"/>
        <color rgb="FFFF0000"/>
        <rFont val="標楷體"/>
        <family val="4"/>
        <charset val="136"/>
      </rPr>
      <t>一月</t>
    </r>
    <phoneticPr fontId="31" type="noConversion"/>
  </si>
  <si>
    <r>
      <rPr>
        <sz val="11"/>
        <color rgb="FFFF0000"/>
        <rFont val="標楷體"/>
        <family val="4"/>
        <charset val="136"/>
      </rPr>
      <t>產能</t>
    </r>
    <phoneticPr fontId="31" type="noConversion"/>
  </si>
  <si>
    <r>
      <rPr>
        <sz val="11"/>
        <color rgb="FFFF0000"/>
        <rFont val="標楷體"/>
        <family val="4"/>
        <charset val="136"/>
      </rPr>
      <t>江世芬</t>
    </r>
    <phoneticPr fontId="38" type="noConversion"/>
  </si>
  <si>
    <r>
      <rPr>
        <sz val="11"/>
        <color rgb="FFFF0000"/>
        <rFont val="標楷體"/>
        <family val="4"/>
        <charset val="136"/>
      </rPr>
      <t>黃文德</t>
    </r>
    <phoneticPr fontId="38" type="noConversion"/>
  </si>
  <si>
    <r>
      <rPr>
        <sz val="11"/>
        <color rgb="FFFF0000"/>
        <rFont val="標楷體"/>
        <family val="4"/>
        <charset val="136"/>
      </rPr>
      <t>陳和其</t>
    </r>
    <phoneticPr fontId="38" type="noConversion"/>
  </si>
  <si>
    <r>
      <rPr>
        <sz val="11"/>
        <color rgb="FFFF0000"/>
        <rFont val="標楷體"/>
        <family val="4"/>
        <charset val="136"/>
      </rPr>
      <t>呂孔德</t>
    </r>
    <phoneticPr fontId="38" type="noConversion"/>
  </si>
  <si>
    <r>
      <rPr>
        <sz val="11"/>
        <color rgb="FFFF0000"/>
        <rFont val="標楷體"/>
        <family val="4"/>
        <charset val="136"/>
      </rPr>
      <t>王莉婷</t>
    </r>
    <phoneticPr fontId="38" type="noConversion"/>
  </si>
  <si>
    <r>
      <rPr>
        <sz val="11"/>
        <color rgb="FFFF0000"/>
        <rFont val="標楷體"/>
        <family val="4"/>
        <charset val="136"/>
      </rPr>
      <t>賴文賢</t>
    </r>
    <phoneticPr fontId="38" type="noConversion"/>
  </si>
  <si>
    <r>
      <rPr>
        <sz val="11"/>
        <color rgb="FFFF0000"/>
        <rFont val="標楷體"/>
        <family val="4"/>
        <charset val="136"/>
      </rPr>
      <t>楊佑偵</t>
    </r>
    <phoneticPr fontId="38" type="noConversion"/>
  </si>
  <si>
    <r>
      <rPr>
        <sz val="11"/>
        <color rgb="FFFF0000"/>
        <rFont val="標楷體"/>
        <family val="4"/>
        <charset val="136"/>
      </rPr>
      <t>陳國桂</t>
    </r>
    <phoneticPr fontId="38" type="noConversion"/>
  </si>
  <si>
    <r>
      <rPr>
        <sz val="11"/>
        <color rgb="FFFF0000"/>
        <rFont val="標楷體"/>
        <family val="4"/>
        <charset val="136"/>
      </rPr>
      <t>產量</t>
    </r>
    <phoneticPr fontId="28" type="noConversion"/>
  </si>
  <si>
    <r>
      <rPr>
        <sz val="11"/>
        <color rgb="FFFF0000"/>
        <rFont val="標楷體"/>
        <family val="4"/>
        <charset val="136"/>
      </rPr>
      <t>製造部門</t>
    </r>
    <phoneticPr fontId="28" type="noConversion"/>
  </si>
  <si>
    <r>
      <rPr>
        <sz val="11"/>
        <color rgb="FFFF0000"/>
        <rFont val="標楷體"/>
        <family val="4"/>
        <charset val="136"/>
      </rPr>
      <t>測試部門</t>
    </r>
    <phoneticPr fontId="28" type="noConversion"/>
  </si>
  <si>
    <r>
      <rPr>
        <sz val="11"/>
        <color rgb="FFFF0000"/>
        <rFont val="標楷體"/>
        <family val="4"/>
        <charset val="136"/>
      </rPr>
      <t>品管部門</t>
    </r>
    <phoneticPr fontId="28" type="noConversion"/>
  </si>
  <si>
    <r>
      <rPr>
        <sz val="11"/>
        <color rgb="FFFF0000"/>
        <rFont val="標楷體"/>
        <family val="4"/>
        <charset val="136"/>
      </rPr>
      <t>封裝部門</t>
    </r>
    <phoneticPr fontId="28" type="noConversion"/>
  </si>
  <si>
    <r>
      <rPr>
        <sz val="11"/>
        <color rgb="FFFF0000"/>
        <rFont val="標楷體"/>
        <family val="4"/>
        <charset val="136"/>
      </rPr>
      <t>製造部門</t>
    </r>
    <phoneticPr fontId="28" type="noConversion"/>
  </si>
  <si>
    <r>
      <rPr>
        <sz val="11"/>
        <color rgb="FFFF0000"/>
        <rFont val="標楷體"/>
        <family val="4"/>
        <charset val="136"/>
      </rPr>
      <t>測試部門</t>
    </r>
    <phoneticPr fontId="28" type="noConversion"/>
  </si>
  <si>
    <r>
      <rPr>
        <sz val="11"/>
        <color rgb="FFFF0000"/>
        <rFont val="標楷體"/>
        <family val="4"/>
        <charset val="136"/>
      </rPr>
      <t>品管部門</t>
    </r>
    <phoneticPr fontId="28" type="noConversion"/>
  </si>
  <si>
    <r>
      <rPr>
        <sz val="11"/>
        <color rgb="FFFF0000"/>
        <rFont val="標楷體"/>
        <family val="4"/>
        <charset val="136"/>
      </rPr>
      <t>封裝部門</t>
    </r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</si>
</sst>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43" formatCode="_-* #,##0.00_-;\-* #,##0.00_-;_-* &quot;-&quot;??_-;_-@_-"/>
    <numFmt numFmtId="176" formatCode="General_)"/>
    <numFmt numFmtId="177" formatCode="_(* #,##0.00_);_(* \(#,##0.00\);_(* &quot;-&quot;??_);_(@_)"/>
    <numFmt numFmtId="178" formatCode="#,##0_ "/>
    <numFmt numFmtId="179" formatCode="&quot;$&quot;#,##0.00_);[Red]\(&quot;$&quot;#,##0.00\)"/>
    <numFmt numFmtId="180" formatCode="_(* #,##0_);_(* \(#,##0\);_(* &quot;-&quot;_);_(@_)"/>
    <numFmt numFmtId="181" formatCode="&quot; &quot;@"/>
    <numFmt numFmtId="182" formatCode="&quot;$&quot;#,##0_);[Red]\(&quot;$&quot;#,##0\)"/>
    <numFmt numFmtId="183" formatCode="&quot;$&quot;#,##0"/>
    <numFmt numFmtId="184" formatCode="#,##0_);[Red]\(#,##0\)"/>
    <numFmt numFmtId="185" formatCode="0\ &quot;人&quot;"/>
    <numFmt numFmtId="186" formatCode="#,##0.00_ "/>
    <numFmt numFmtId="187" formatCode="#,##0_ ;;"/>
    <numFmt numFmtId="188" formatCode="0;;"/>
    <numFmt numFmtId="189" formatCode="General;;"/>
    <numFmt numFmtId="190" formatCode="0.00_);[Red]\(0.00\);"/>
  </numFmts>
  <fonts count="66">
    <font>
      <sz val="12"/>
      <color theme="1"/>
      <name val="標楷體"/>
      <family val="2"/>
      <charset val="136"/>
    </font>
    <font>
      <sz val="11"/>
      <color theme="1"/>
      <name val="標楷體"/>
      <family val="2"/>
      <charset val="136"/>
    </font>
    <font>
      <sz val="10"/>
      <color theme="1"/>
      <name val="微軟正黑體"/>
      <family val="2"/>
      <charset val="136"/>
    </font>
    <font>
      <sz val="9"/>
      <name val="標楷體"/>
      <family val="2"/>
      <charset val="136"/>
    </font>
    <font>
      <sz val="11"/>
      <color theme="1"/>
      <name val="Times New Roman"/>
      <family val="1"/>
    </font>
    <font>
      <sz val="12"/>
      <name val="Courier"/>
      <family val="3"/>
    </font>
    <font>
      <sz val="12"/>
      <name val="Times New Roman"/>
      <family val="1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10"/>
      <name val="Arial"/>
      <family val="2"/>
    </font>
    <font>
      <u/>
      <sz val="10"/>
      <color indexed="14"/>
      <name val="新細明體"/>
      <family val="1"/>
      <charset val="136"/>
    </font>
    <font>
      <sz val="12"/>
      <color theme="1"/>
      <name val="標楷體"/>
      <family val="2"/>
      <charset val="136"/>
    </font>
    <font>
      <b/>
      <sz val="11"/>
      <color theme="0"/>
      <name val="標楷體"/>
      <family val="4"/>
      <charset val="136"/>
    </font>
    <font>
      <sz val="11"/>
      <color theme="1"/>
      <name val="標楷體"/>
      <family val="2"/>
      <charset val="136"/>
    </font>
    <font>
      <sz val="8"/>
      <name val="Helv"/>
      <family val="2"/>
    </font>
    <font>
      <sz val="10"/>
      <name val="MS Sans Serif"/>
      <family val="2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0"/>
      <name val="Helv"/>
      <family val="2"/>
    </font>
    <font>
      <b/>
      <sz val="8"/>
      <name val="Helv"/>
      <family val="2"/>
    </font>
    <font>
      <b/>
      <sz val="8"/>
      <color indexed="9"/>
      <name val="Arial"/>
      <family val="2"/>
    </font>
    <font>
      <b/>
      <sz val="8"/>
      <color indexed="9"/>
      <name val="Helv"/>
      <family val="2"/>
    </font>
    <font>
      <sz val="11"/>
      <color theme="1"/>
      <name val="新細明體"/>
      <family val="2"/>
      <charset val="128"/>
      <scheme val="minor"/>
    </font>
    <font>
      <sz val="11"/>
      <name val="ＭＳ Ｐゴシック"/>
      <family val="3"/>
      <charset val="128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1"/>
      <name val="標楷體"/>
      <family val="4"/>
      <charset val="136"/>
    </font>
    <font>
      <sz val="11"/>
      <name val="Times New Roman"/>
      <family val="1"/>
    </font>
    <font>
      <sz val="9"/>
      <name val="新細明體"/>
      <family val="2"/>
      <charset val="136"/>
      <scheme val="minor"/>
    </font>
    <font>
      <sz val="11"/>
      <color theme="1"/>
      <name val="標楷體"/>
      <family val="4"/>
      <charset val="136"/>
    </font>
    <font>
      <b/>
      <sz val="11"/>
      <color theme="0"/>
      <name val="標楷體"/>
      <family val="2"/>
      <charset val="136"/>
    </font>
    <font>
      <b/>
      <sz val="11"/>
      <color theme="0"/>
      <name val="Times New Roman"/>
      <family val="1"/>
    </font>
    <font>
      <sz val="11"/>
      <color indexed="9"/>
      <name val="Times New Roman"/>
      <family val="1"/>
    </font>
    <font>
      <sz val="12"/>
      <color theme="1"/>
      <name val="Arial Unicode MS"/>
      <family val="2"/>
      <charset val="136"/>
    </font>
    <font>
      <sz val="10"/>
      <color indexed="8"/>
      <name val="Arial"/>
      <family val="2"/>
    </font>
    <font>
      <sz val="10"/>
      <name val="Calibri"/>
      <family val="2"/>
    </font>
    <font>
      <sz val="11"/>
      <color indexed="8"/>
      <name val="標楷體"/>
      <family val="4"/>
      <charset val="136"/>
    </font>
    <font>
      <b/>
      <sz val="12"/>
      <color rgb="FF0000FF"/>
      <name val="微軟正黑體"/>
      <family val="2"/>
      <charset val="136"/>
    </font>
    <font>
      <b/>
      <sz val="11"/>
      <color rgb="FF0000FF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1"/>
      <name val="Times New Roman"/>
      <family val="1"/>
    </font>
    <font>
      <sz val="11"/>
      <name val="細明體"/>
      <family val="3"/>
      <charset val="136"/>
    </font>
    <font>
      <sz val="14"/>
      <color rgb="FF0000FF"/>
      <name val="Arial Black"/>
      <family val="2"/>
    </font>
    <font>
      <b/>
      <sz val="10"/>
      <color rgb="FF000080"/>
      <name val="標楷體"/>
      <family val="4"/>
      <charset val="136"/>
    </font>
    <font>
      <sz val="11"/>
      <color rgb="FF0000FF"/>
      <name val="Arial Black"/>
      <family val="2"/>
    </font>
    <font>
      <sz val="11"/>
      <color rgb="FFFF0000"/>
      <name val="標楷體"/>
      <family val="2"/>
      <charset val="136"/>
    </font>
    <font>
      <sz val="11"/>
      <color rgb="FF0000FF"/>
      <name val="標楷體"/>
      <family val="4"/>
      <charset val="136"/>
    </font>
    <font>
      <sz val="11"/>
      <color rgb="FF0000FF"/>
      <name val="Times New Roman"/>
      <family val="1"/>
    </font>
    <font>
      <sz val="11"/>
      <color rgb="FF0000CC"/>
      <name val="標楷體"/>
      <family val="4"/>
      <charset val="136"/>
    </font>
    <font>
      <sz val="11"/>
      <color rgb="FF006600"/>
      <name val="標楷體"/>
      <family val="4"/>
      <charset val="136"/>
    </font>
    <font>
      <sz val="11"/>
      <color rgb="FF006600"/>
      <name val="Times New Roman"/>
      <family val="1"/>
    </font>
    <font>
      <sz val="11"/>
      <color rgb="FF008000"/>
      <name val="標楷體"/>
      <family val="4"/>
      <charset val="136"/>
    </font>
    <font>
      <sz val="11"/>
      <color rgb="FF008000"/>
      <name val="Times New Roman"/>
      <family val="1"/>
    </font>
    <font>
      <b/>
      <sz val="11"/>
      <color rgb="FF006600"/>
      <name val="Times New Roman"/>
      <family val="1"/>
    </font>
    <font>
      <sz val="11"/>
      <color rgb="FFFF0000"/>
      <name val="Times New Roman"/>
      <family val="1"/>
    </font>
    <font>
      <sz val="11"/>
      <color rgb="FFFF0000"/>
      <name val="標楷體"/>
      <family val="4"/>
      <charset val="136"/>
    </font>
    <font>
      <b/>
      <sz val="11"/>
      <color rgb="FF008000"/>
      <name val="Times New Roman"/>
      <family val="1"/>
    </font>
    <font>
      <sz val="11"/>
      <color rgb="FFFF0000"/>
      <name val="Arial Black"/>
      <family val="2"/>
    </font>
    <font>
      <sz val="11"/>
      <color rgb="FF0000CC"/>
      <name val="Arial Black"/>
      <family val="2"/>
    </font>
    <font>
      <sz val="11"/>
      <color rgb="FF0000FF"/>
      <name val="標楷體"/>
      <family val="2"/>
      <charset val="136"/>
    </font>
    <font>
      <sz val="11"/>
      <color rgb="FF008000"/>
      <name val="標楷體"/>
      <family val="2"/>
      <charset val="136"/>
    </font>
    <font>
      <sz val="14"/>
      <color rgb="FFFF0000"/>
      <name val="Arial Black"/>
      <family val="2"/>
    </font>
    <font>
      <b/>
      <sz val="14"/>
      <color rgb="FF008000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lightGray">
        <fgColor indexed="22"/>
      </patternFill>
    </fill>
    <fill>
      <patternFill patternType="solid">
        <fgColor indexed="14"/>
      </patternFill>
    </fill>
    <fill>
      <patternFill patternType="solid">
        <fgColor indexed="15"/>
      </patternFill>
    </fill>
    <fill>
      <patternFill patternType="solid">
        <fgColor indexed="11"/>
      </patternFill>
    </fill>
    <fill>
      <patternFill patternType="solid">
        <fgColor indexed="8"/>
      </patternFill>
    </fill>
    <fill>
      <patternFill patternType="solid">
        <fgColor indexed="22"/>
      </patternFill>
    </fill>
    <fill>
      <patternFill patternType="solid">
        <fgColor indexed="13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</fills>
  <borders count="221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hair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thin">
        <color theme="1"/>
      </left>
      <right style="medium">
        <color theme="1"/>
      </right>
      <top/>
      <bottom style="hair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 style="hair">
        <color theme="1"/>
      </bottom>
      <diagonal/>
    </border>
    <border>
      <left/>
      <right style="thin">
        <color theme="1"/>
      </right>
      <top style="hair">
        <color theme="1"/>
      </top>
      <bottom style="hair">
        <color theme="1"/>
      </bottom>
      <diagonal/>
    </border>
    <border>
      <left/>
      <right style="thin">
        <color theme="1"/>
      </right>
      <top style="hair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hair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1"/>
      </top>
      <bottom style="hair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/>
      <bottom style="hair">
        <color theme="1"/>
      </bottom>
      <diagonal/>
    </border>
    <border>
      <left style="thin">
        <color theme="1"/>
      </left>
      <right style="medium">
        <color indexed="64"/>
      </right>
      <top style="hair">
        <color theme="1"/>
      </top>
      <bottom style="hair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 style="medium">
        <color indexed="64"/>
      </left>
      <right style="thin">
        <color theme="1"/>
      </right>
      <top/>
      <bottom style="hair">
        <color theme="1"/>
      </bottom>
      <diagonal/>
    </border>
    <border>
      <left style="medium">
        <color indexed="64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 style="double">
        <color rgb="FFFF0000"/>
      </left>
      <right style="thin">
        <color rgb="FFFF0000"/>
      </right>
      <top style="double">
        <color rgb="FFFF0000"/>
      </top>
      <bottom style="double">
        <color rgb="FFFF0000"/>
      </bottom>
      <diagonal/>
    </border>
    <border>
      <left style="thin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double">
        <color rgb="FF0000FF"/>
      </right>
      <top style="double">
        <color rgb="FF0000FF"/>
      </top>
      <bottom style="double">
        <color rgb="FF0000FF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thin">
        <color rgb="FFFF0000"/>
      </bottom>
      <diagonal/>
    </border>
    <border>
      <left style="double">
        <color rgb="FFFF0000"/>
      </left>
      <right style="double">
        <color rgb="FFFF0000"/>
      </right>
      <top style="thin">
        <color rgb="FFFF0000"/>
      </top>
      <bottom style="double">
        <color rgb="FFFF0000"/>
      </bottom>
      <diagonal/>
    </border>
    <border>
      <left style="double">
        <color rgb="FF0000FF"/>
      </left>
      <right style="double">
        <color rgb="FF0000FF"/>
      </right>
      <top style="double">
        <color rgb="FF0000FF"/>
      </top>
      <bottom style="double">
        <color rgb="FF0000FF"/>
      </bottom>
      <diagonal/>
    </border>
    <border>
      <left/>
      <right style="double">
        <color rgb="FF0000F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rgb="FF0000F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thin">
        <color rgb="FFFF0000"/>
      </right>
      <top style="double">
        <color rgb="FFFF0000"/>
      </top>
      <bottom style="hair">
        <color rgb="FFFF0000"/>
      </bottom>
      <diagonal/>
    </border>
    <border>
      <left style="thin">
        <color rgb="FFFF0000"/>
      </left>
      <right style="thin">
        <color rgb="FFFF0000"/>
      </right>
      <top style="double">
        <color rgb="FFFF0000"/>
      </top>
      <bottom style="hair">
        <color rgb="FFFF0000"/>
      </bottom>
      <diagonal/>
    </border>
    <border>
      <left style="thin">
        <color rgb="FFFF0000"/>
      </left>
      <right style="double">
        <color rgb="FFFF0000"/>
      </right>
      <top style="double">
        <color rgb="FFFF0000"/>
      </top>
      <bottom style="hair">
        <color rgb="FFFF0000"/>
      </bottom>
      <diagonal/>
    </border>
    <border>
      <left style="double">
        <color rgb="FFFF0000"/>
      </left>
      <right style="thin">
        <color rgb="FFFF0000"/>
      </right>
      <top style="hair">
        <color rgb="FFFF0000"/>
      </top>
      <bottom style="hair">
        <color rgb="FFFF0000"/>
      </bottom>
      <diagonal/>
    </border>
    <border>
      <left style="thin">
        <color rgb="FFFF0000"/>
      </left>
      <right style="thin">
        <color rgb="FFFF0000"/>
      </right>
      <top style="hair">
        <color rgb="FFFF0000"/>
      </top>
      <bottom style="hair">
        <color rgb="FFFF0000"/>
      </bottom>
      <diagonal/>
    </border>
    <border>
      <left style="thin">
        <color rgb="FFFF0000"/>
      </left>
      <right style="double">
        <color rgb="FFFF0000"/>
      </right>
      <top style="hair">
        <color rgb="FFFF0000"/>
      </top>
      <bottom style="hair">
        <color rgb="FFFF0000"/>
      </bottom>
      <diagonal/>
    </border>
    <border>
      <left style="double">
        <color rgb="FFFF0000"/>
      </left>
      <right style="thin">
        <color rgb="FFFF0000"/>
      </right>
      <top style="hair">
        <color rgb="FFFF0000"/>
      </top>
      <bottom style="double">
        <color rgb="FFFF0000"/>
      </bottom>
      <diagonal/>
    </border>
    <border>
      <left style="thin">
        <color rgb="FFFF0000"/>
      </left>
      <right style="thin">
        <color rgb="FFFF0000"/>
      </right>
      <top style="hair">
        <color rgb="FFFF0000"/>
      </top>
      <bottom style="double">
        <color rgb="FFFF0000"/>
      </bottom>
      <diagonal/>
    </border>
    <border>
      <left style="thin">
        <color rgb="FFFF0000"/>
      </left>
      <right style="double">
        <color rgb="FFFF0000"/>
      </right>
      <top style="hair">
        <color rgb="FFFF0000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ashed">
        <color rgb="FFFF0000"/>
      </bottom>
      <diagonal/>
    </border>
    <border>
      <left style="double">
        <color rgb="FFFF0000"/>
      </left>
      <right style="double">
        <color rgb="FFFF0000"/>
      </right>
      <top style="dashed">
        <color rgb="FFFF0000"/>
      </top>
      <bottom style="dashed">
        <color rgb="FFFF0000"/>
      </bottom>
      <diagonal/>
    </border>
    <border>
      <left/>
      <right style="thin">
        <color theme="1"/>
      </right>
      <top style="hair">
        <color theme="1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theme="1"/>
      </left>
      <right/>
      <top style="hair">
        <color theme="1"/>
      </top>
      <bottom/>
      <diagonal/>
    </border>
    <border>
      <left style="double">
        <color rgb="FFFF0000"/>
      </left>
      <right style="double">
        <color rgb="FFFF0000"/>
      </right>
      <top style="dashed">
        <color rgb="FFFF0000"/>
      </top>
      <bottom style="double">
        <color rgb="FFFF0000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/>
      <top style="medium">
        <color indexed="64"/>
      </top>
      <bottom/>
      <diagonal/>
    </border>
    <border>
      <left/>
      <right/>
      <top/>
      <bottom style="hair">
        <color theme="1"/>
      </bottom>
      <diagonal/>
    </border>
    <border>
      <left style="double">
        <color rgb="FFFF0000"/>
      </left>
      <right style="thin">
        <color theme="1"/>
      </right>
      <top style="double">
        <color rgb="FFFF0000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double">
        <color rgb="FFFF0000"/>
      </top>
      <bottom style="hair">
        <color theme="1"/>
      </bottom>
      <diagonal/>
    </border>
    <border>
      <left style="thin">
        <color theme="1"/>
      </left>
      <right style="double">
        <color rgb="FFFF0000"/>
      </right>
      <top style="double">
        <color rgb="FFFF0000"/>
      </top>
      <bottom style="hair">
        <color theme="1"/>
      </bottom>
      <diagonal/>
    </border>
    <border>
      <left/>
      <right style="medium">
        <color indexed="64"/>
      </right>
      <top/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 style="double">
        <color rgb="FFFF0000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double">
        <color rgb="FFFF0000"/>
      </right>
      <top style="hair">
        <color theme="1"/>
      </top>
      <bottom/>
      <diagonal/>
    </border>
    <border>
      <left style="double">
        <color rgb="FFFF0000"/>
      </left>
      <right style="double">
        <color rgb="FFFF0000"/>
      </right>
      <top style="hair">
        <color theme="1"/>
      </top>
      <bottom style="double">
        <color rgb="FFFF0000"/>
      </bottom>
      <diagonal/>
    </border>
    <border>
      <left style="thin">
        <color theme="1"/>
      </left>
      <right style="double">
        <color rgb="FFFF0000"/>
      </right>
      <top style="hair">
        <color theme="1"/>
      </top>
      <bottom style="hair">
        <color theme="1"/>
      </bottom>
      <diagonal/>
    </border>
    <border>
      <left/>
      <right style="medium">
        <color indexed="64"/>
      </right>
      <top style="hair">
        <color theme="1"/>
      </top>
      <bottom style="hair">
        <color theme="1"/>
      </bottom>
      <diagonal/>
    </border>
    <border>
      <left/>
      <right style="double">
        <color rgb="FFFF0000"/>
      </right>
      <top style="hair">
        <color theme="1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hair">
        <color theme="1"/>
      </bottom>
      <diagonal/>
    </border>
    <border>
      <left/>
      <right style="double">
        <color rgb="FFFF0000"/>
      </right>
      <top style="hair">
        <color theme="1"/>
      </top>
      <bottom style="hair">
        <color theme="1"/>
      </bottom>
      <diagonal/>
    </border>
    <border>
      <left/>
      <right style="thin">
        <color theme="1"/>
      </right>
      <top style="double">
        <color rgb="FFFF0000"/>
      </top>
      <bottom style="hair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double">
        <color rgb="FFFF0000"/>
      </left>
      <right style="double">
        <color rgb="FFFF0000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double">
        <color rgb="FFFF0000"/>
      </right>
      <top style="double">
        <color rgb="FFFF0000"/>
      </top>
      <bottom/>
      <diagonal/>
    </border>
    <border>
      <left style="thin">
        <color theme="1"/>
      </left>
      <right style="double">
        <color rgb="FFFF0000"/>
      </right>
      <top style="hair">
        <color theme="1"/>
      </top>
      <bottom style="double">
        <color rgb="FFFF0000"/>
      </bottom>
      <diagonal/>
    </border>
    <border>
      <left/>
      <right style="thin">
        <color theme="1"/>
      </right>
      <top style="hair">
        <color theme="1"/>
      </top>
      <bottom style="double">
        <color rgb="FFFF0000"/>
      </bottom>
      <diagonal/>
    </border>
    <border>
      <left style="double">
        <color rgb="FFFF0000"/>
      </left>
      <right/>
      <top style="hair">
        <color theme="1"/>
      </top>
      <bottom style="hair">
        <color theme="1"/>
      </bottom>
      <diagonal/>
    </border>
    <border>
      <left style="double">
        <color rgb="FFFF0000"/>
      </left>
      <right/>
      <top style="hair">
        <color theme="1"/>
      </top>
      <bottom style="double">
        <color rgb="FFFF0000"/>
      </bottom>
      <diagonal/>
    </border>
    <border>
      <left/>
      <right style="thin">
        <color theme="1"/>
      </right>
      <top style="double">
        <color rgb="FFFF0000"/>
      </top>
      <bottom style="double">
        <color rgb="FFFF0000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double">
        <color rgb="FFFF0000"/>
      </bottom>
      <diagonal/>
    </border>
    <border>
      <left style="thin">
        <color theme="1"/>
      </left>
      <right style="double">
        <color rgb="FFFF0000"/>
      </right>
      <top/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/>
      <diagonal/>
    </border>
    <border>
      <left style="double">
        <color rgb="FFFF0000"/>
      </left>
      <right style="thin">
        <color theme="1"/>
      </right>
      <top style="hair">
        <color theme="1"/>
      </top>
      <bottom style="double">
        <color rgb="FFFF0000"/>
      </bottom>
      <diagonal/>
    </border>
    <border>
      <left style="thin">
        <color theme="1"/>
      </left>
      <right style="thin">
        <color theme="1"/>
      </right>
      <top/>
      <bottom style="double">
        <color rgb="FFFF0000"/>
      </bottom>
      <diagonal/>
    </border>
    <border>
      <left/>
      <right style="medium">
        <color indexed="64"/>
      </right>
      <top style="hair">
        <color theme="1"/>
      </top>
      <bottom/>
      <diagonal/>
    </border>
    <border>
      <left/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theme="1"/>
      </right>
      <top style="hair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hair">
        <color theme="1"/>
      </top>
      <bottom style="medium">
        <color indexed="64"/>
      </bottom>
      <diagonal/>
    </border>
    <border>
      <left/>
      <right style="thin">
        <color theme="1"/>
      </right>
      <top style="hair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medium">
        <color indexed="64"/>
      </bottom>
      <diagonal/>
    </border>
    <border>
      <left style="thin">
        <color theme="1"/>
      </left>
      <right style="double">
        <color rgb="FFFF0000"/>
      </right>
      <top style="hair">
        <color theme="1"/>
      </top>
      <bottom style="medium">
        <color indexed="64"/>
      </bottom>
      <diagonal/>
    </border>
    <border>
      <left style="double">
        <color rgb="FF0000FF"/>
      </left>
      <right/>
      <top style="double">
        <color rgb="FFFF0000"/>
      </top>
      <bottom style="double">
        <color rgb="FF0000FF"/>
      </bottom>
      <diagonal/>
    </border>
    <border>
      <left/>
      <right/>
      <top style="double">
        <color rgb="FFFF0000"/>
      </top>
      <bottom style="double">
        <color rgb="FF0000FF"/>
      </bottom>
      <diagonal/>
    </border>
    <border>
      <left/>
      <right style="double">
        <color rgb="FF0000FF"/>
      </right>
      <top style="double">
        <color rgb="FFFF0000"/>
      </top>
      <bottom style="double">
        <color rgb="FF0000FF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rgb="FF0000FF"/>
      </top>
      <bottom style="medium">
        <color indexed="64"/>
      </bottom>
      <diagonal/>
    </border>
    <border>
      <left style="double">
        <color rgb="FFFF0000"/>
      </left>
      <right style="hair">
        <color rgb="FFFF0000"/>
      </right>
      <top style="double">
        <color rgb="FFFF0000"/>
      </top>
      <bottom style="hair">
        <color rgb="FFFF0000"/>
      </bottom>
      <diagonal/>
    </border>
    <border>
      <left style="hair">
        <color rgb="FFFF0000"/>
      </left>
      <right style="hair">
        <color rgb="FFFF0000"/>
      </right>
      <top style="double">
        <color rgb="FFFF0000"/>
      </top>
      <bottom style="hair">
        <color rgb="FFFF0000"/>
      </bottom>
      <diagonal/>
    </border>
    <border>
      <left style="hair">
        <color rgb="FFFF0000"/>
      </left>
      <right style="double">
        <color rgb="FFFF0000"/>
      </right>
      <top style="double">
        <color rgb="FFFF0000"/>
      </top>
      <bottom style="hair">
        <color rgb="FFFF0000"/>
      </bottom>
      <diagonal/>
    </border>
    <border>
      <left style="double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 style="hair">
        <color rgb="FFFF0000"/>
      </left>
      <right style="double">
        <color rgb="FFFF0000"/>
      </right>
      <top style="hair">
        <color rgb="FFFF0000"/>
      </top>
      <bottom style="hair">
        <color rgb="FFFF0000"/>
      </bottom>
      <diagonal/>
    </border>
    <border>
      <left style="double">
        <color rgb="FFFF0000"/>
      </left>
      <right style="hair">
        <color rgb="FFFF0000"/>
      </right>
      <top style="hair">
        <color rgb="FFFF0000"/>
      </top>
      <bottom style="double">
        <color rgb="FFFF0000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double">
        <color rgb="FFFF0000"/>
      </bottom>
      <diagonal/>
    </border>
    <border>
      <left style="hair">
        <color rgb="FFFF0000"/>
      </left>
      <right style="double">
        <color rgb="FFFF0000"/>
      </right>
      <top style="hair">
        <color rgb="FFFF0000"/>
      </top>
      <bottom style="double">
        <color rgb="FFFF0000"/>
      </bottom>
      <diagonal/>
    </border>
    <border>
      <left style="double">
        <color rgb="FFFF0000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double">
        <color rgb="FFFF0000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double">
        <color rgb="FFFF0000"/>
      </left>
      <right style="medium">
        <color indexed="64"/>
      </right>
      <top style="hair">
        <color auto="1"/>
      </top>
      <bottom style="double">
        <color rgb="FF0000FF"/>
      </bottom>
      <diagonal/>
    </border>
    <border>
      <left style="medium">
        <color theme="1"/>
      </left>
      <right style="hair">
        <color theme="1"/>
      </right>
      <top style="double">
        <color rgb="FFFF0000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double">
        <color rgb="FFFF0000"/>
      </top>
      <bottom style="medium">
        <color theme="1"/>
      </bottom>
      <diagonal/>
    </border>
    <border>
      <left style="hair">
        <color theme="1"/>
      </left>
      <right style="double">
        <color rgb="FF0000FF"/>
      </right>
      <top style="double">
        <color rgb="FFFF0000"/>
      </top>
      <bottom style="medium">
        <color theme="1"/>
      </bottom>
      <diagonal/>
    </border>
    <border>
      <left/>
      <right/>
      <top style="hair">
        <color auto="1"/>
      </top>
      <bottom/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double">
        <color rgb="FF0000FF"/>
      </top>
      <bottom/>
      <diagonal/>
    </border>
    <border>
      <left style="double">
        <color rgb="FFFF0000"/>
      </left>
      <right style="double">
        <color rgb="FFFF0000"/>
      </right>
      <top style="thin">
        <color rgb="FFFF0000"/>
      </top>
      <bottom style="thin">
        <color rgb="FFFF0000"/>
      </bottom>
      <diagonal/>
    </border>
    <border>
      <left style="double">
        <color rgb="FFFF0000"/>
      </left>
      <right style="thin">
        <color rgb="FFFF0000"/>
      </right>
      <top style="double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double">
        <color rgb="FFFF0000"/>
      </top>
      <bottom style="thin">
        <color rgb="FFFF0000"/>
      </bottom>
      <diagonal/>
    </border>
    <border>
      <left style="thin">
        <color rgb="FFFF0000"/>
      </left>
      <right style="double">
        <color rgb="FFFF0000"/>
      </right>
      <top style="double">
        <color rgb="FFFF0000"/>
      </top>
      <bottom style="thin">
        <color rgb="FFFF0000"/>
      </bottom>
      <diagonal/>
    </border>
    <border>
      <left style="double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double">
        <color rgb="FFFF0000"/>
      </right>
      <top style="thin">
        <color rgb="FFFF0000"/>
      </top>
      <bottom style="thin">
        <color rgb="FFFF0000"/>
      </bottom>
      <diagonal/>
    </border>
    <border>
      <left style="double">
        <color rgb="FFFF0000"/>
      </left>
      <right style="thin">
        <color rgb="FFFF0000"/>
      </right>
      <top style="thin">
        <color rgb="FFFF0000"/>
      </top>
      <bottom style="double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double">
        <color rgb="FFFF0000"/>
      </bottom>
      <diagonal/>
    </border>
    <border>
      <left style="thin">
        <color rgb="FFFF0000"/>
      </left>
      <right style="double">
        <color rgb="FFFF0000"/>
      </right>
      <top style="thin">
        <color rgb="FFFF0000"/>
      </top>
      <bottom style="double">
        <color rgb="FFFF0000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double">
        <color rgb="FFFF0000"/>
      </bottom>
      <diagonal/>
    </border>
  </borders>
  <cellStyleXfs count="60">
    <xf numFmtId="0" fontId="0" fillId="0" borderId="0">
      <alignment vertical="center"/>
    </xf>
    <xf numFmtId="176" fontId="5" fillId="0" borderId="0"/>
    <xf numFmtId="0" fontId="7" fillId="0" borderId="0"/>
    <xf numFmtId="0" fontId="8" fillId="0" borderId="0"/>
    <xf numFmtId="0" fontId="9" fillId="0" borderId="0"/>
    <xf numFmtId="0" fontId="10" fillId="0" borderId="0"/>
    <xf numFmtId="0" fontId="8" fillId="0" borderId="0"/>
    <xf numFmtId="0" fontId="8" fillId="0" borderId="0"/>
    <xf numFmtId="0" fontId="11" fillId="0" borderId="0"/>
    <xf numFmtId="177" fontId="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>
      <alignment vertical="center"/>
    </xf>
    <xf numFmtId="0" fontId="16" fillId="3" borderId="0"/>
    <xf numFmtId="0" fontId="11" fillId="0" borderId="0" applyFont="0" applyFill="0" applyBorder="0" applyAlignment="0" applyProtection="0"/>
    <xf numFmtId="40" fontId="17" fillId="0" borderId="0" applyFont="0" applyFill="0" applyBorder="0" applyAlignment="0" applyProtection="0"/>
    <xf numFmtId="0" fontId="11" fillId="0" borderId="0" applyFont="0" applyFill="0" applyBorder="0" applyAlignment="0" applyProtection="0"/>
    <xf numFmtId="179" fontId="17" fillId="0" borderId="0" applyFont="0" applyFill="0" applyBorder="0" applyAlignment="0" applyProtection="0"/>
    <xf numFmtId="0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6" fillId="4" borderId="14"/>
    <xf numFmtId="0" fontId="17" fillId="0" borderId="0"/>
    <xf numFmtId="0" fontId="16" fillId="5" borderId="15" applyBorder="0" applyProtection="0"/>
    <xf numFmtId="0" fontId="21" fillId="0" borderId="0" applyFont="0" applyFill="0" applyBorder="0" applyAlignment="0" applyProtection="0"/>
    <xf numFmtId="0" fontId="22" fillId="6" borderId="15"/>
    <xf numFmtId="0" fontId="23" fillId="7" borderId="15"/>
    <xf numFmtId="0" fontId="24" fillId="8" borderId="16" applyBorder="0"/>
    <xf numFmtId="0" fontId="16" fillId="9" borderId="15"/>
    <xf numFmtId="0" fontId="18" fillId="0" borderId="17" applyNumberFormat="0" applyFont="0" applyFill="0" applyAlignment="0" applyProtection="0"/>
    <xf numFmtId="0" fontId="6" fillId="0" borderId="0"/>
    <xf numFmtId="0" fontId="2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6" fillId="0" borderId="0">
      <alignment vertical="center"/>
    </xf>
    <xf numFmtId="0" fontId="27" fillId="0" borderId="0">
      <alignment vertical="center"/>
    </xf>
    <xf numFmtId="43" fontId="8" fillId="0" borderId="0" applyFon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13" fillId="0" borderId="0" applyFont="0" applyFill="0" applyBorder="0" applyAlignment="0" applyProtection="0">
      <alignment vertical="center"/>
    </xf>
    <xf numFmtId="180" fontId="6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0" fontId="14" fillId="2" borderId="18">
      <alignment horizontal="center" vertical="center" wrapText="1"/>
    </xf>
    <xf numFmtId="0" fontId="14" fillId="2" borderId="18">
      <alignment horizontal="center" vertical="center" wrapText="1"/>
    </xf>
    <xf numFmtId="0" fontId="14" fillId="2" borderId="10">
      <alignment horizontal="center" vertical="center"/>
    </xf>
    <xf numFmtId="0" fontId="11" fillId="0" borderId="0"/>
    <xf numFmtId="0" fontId="2" fillId="0" borderId="0">
      <alignment vertical="center"/>
    </xf>
    <xf numFmtId="0" fontId="37" fillId="0" borderId="0"/>
    <xf numFmtId="0" fontId="8" fillId="0" borderId="0">
      <alignment vertical="center"/>
    </xf>
    <xf numFmtId="0" fontId="27" fillId="0" borderId="0">
      <alignment vertical="center"/>
    </xf>
    <xf numFmtId="9" fontId="6" fillId="0" borderId="0" applyFont="0" applyFill="0" applyBorder="0" applyAlignment="0" applyProtection="0"/>
    <xf numFmtId="0" fontId="42" fillId="0" borderId="0">
      <alignment vertical="center"/>
    </xf>
    <xf numFmtId="0" fontId="11" fillId="0" borderId="0"/>
    <xf numFmtId="0" fontId="30" fillId="10" borderId="130">
      <alignment horizontal="center" vertical="center"/>
    </xf>
    <xf numFmtId="0" fontId="30" fillId="11" borderId="116">
      <alignment horizontal="center" vertical="center"/>
    </xf>
    <xf numFmtId="0" fontId="30" fillId="0" borderId="135">
      <alignment vertical="center"/>
    </xf>
  </cellStyleXfs>
  <cellXfs count="494">
    <xf numFmtId="0" fontId="0" fillId="0" borderId="0" xfId="0">
      <alignment vertical="center"/>
    </xf>
    <xf numFmtId="0" fontId="15" fillId="0" borderId="0" xfId="0" applyFont="1">
      <alignment vertical="center"/>
    </xf>
    <xf numFmtId="0" fontId="30" fillId="0" borderId="0" xfId="49" applyFont="1" applyAlignment="1">
      <alignment horizontal="centerContinuous" vertical="center"/>
    </xf>
    <xf numFmtId="0" fontId="30" fillId="0" borderId="0" xfId="49" applyFont="1"/>
    <xf numFmtId="0" fontId="30" fillId="0" borderId="37" xfId="49" applyFont="1" applyFill="1" applyBorder="1" applyAlignment="1">
      <alignment vertical="center"/>
    </xf>
    <xf numFmtId="0" fontId="30" fillId="0" borderId="63" xfId="49" applyFont="1" applyFill="1" applyBorder="1" applyAlignment="1">
      <alignment horizontal="center" vertical="center" wrapText="1"/>
    </xf>
    <xf numFmtId="3" fontId="30" fillId="0" borderId="0" xfId="49" applyNumberFormat="1" applyFont="1" applyFill="1" applyAlignment="1">
      <alignment vertical="center"/>
    </xf>
    <xf numFmtId="0" fontId="30" fillId="0" borderId="0" xfId="49" applyFont="1" applyFill="1"/>
    <xf numFmtId="0" fontId="35" fillId="0" borderId="0" xfId="49" applyFont="1" applyFill="1" applyAlignment="1">
      <alignment horizontal="right"/>
    </xf>
    <xf numFmtId="0" fontId="35" fillId="0" borderId="0" xfId="49" applyFont="1" applyFill="1"/>
    <xf numFmtId="0" fontId="36" fillId="0" borderId="0" xfId="38" applyFont="1">
      <alignment vertical="center"/>
    </xf>
    <xf numFmtId="0" fontId="30" fillId="0" borderId="0" xfId="38" applyFont="1" applyFill="1" applyBorder="1">
      <alignment vertical="center"/>
    </xf>
    <xf numFmtId="0" fontId="30" fillId="0" borderId="0" xfId="38" applyFont="1" applyFill="1">
      <alignment vertical="center"/>
    </xf>
    <xf numFmtId="0" fontId="30" fillId="0" borderId="27" xfId="38" applyFont="1" applyFill="1" applyBorder="1" applyAlignment="1">
      <alignment horizontal="center" vertical="center"/>
    </xf>
    <xf numFmtId="0" fontId="30" fillId="0" borderId="12" xfId="38" applyFont="1" applyFill="1" applyBorder="1" applyAlignment="1">
      <alignment horizontal="center" vertical="center"/>
    </xf>
    <xf numFmtId="0" fontId="30" fillId="0" borderId="11" xfId="38" applyFont="1" applyFill="1" applyBorder="1" applyAlignment="1">
      <alignment horizontal="center" vertical="center"/>
    </xf>
    <xf numFmtId="0" fontId="30" fillId="0" borderId="10" xfId="38" applyFont="1" applyFill="1" applyBorder="1" applyAlignment="1">
      <alignment horizontal="center" vertical="center"/>
    </xf>
    <xf numFmtId="0" fontId="30" fillId="0" borderId="3" xfId="38" applyFont="1" applyFill="1" applyBorder="1" applyAlignment="1">
      <alignment horizontal="center" vertical="center"/>
    </xf>
    <xf numFmtId="0" fontId="30" fillId="0" borderId="33" xfId="38" applyFont="1" applyFill="1" applyBorder="1" applyAlignment="1">
      <alignment horizontal="center" vertical="center"/>
    </xf>
    <xf numFmtId="178" fontId="30" fillId="0" borderId="34" xfId="38" applyNumberFormat="1" applyFont="1" applyFill="1" applyBorder="1" applyAlignment="1">
      <alignment horizontal="center" vertical="center"/>
    </xf>
    <xf numFmtId="178" fontId="30" fillId="0" borderId="66" xfId="38" applyNumberFormat="1" applyFont="1" applyFill="1" applyBorder="1" applyAlignment="1">
      <alignment horizontal="center" vertical="center"/>
    </xf>
    <xf numFmtId="0" fontId="4" fillId="0" borderId="0" xfId="38" applyFont="1" applyFill="1" applyAlignment="1">
      <alignment vertical="center"/>
    </xf>
    <xf numFmtId="0" fontId="4" fillId="0" borderId="0" xfId="38" applyFont="1" applyFill="1" applyAlignment="1">
      <alignment horizontal="right" vertical="center"/>
    </xf>
    <xf numFmtId="1" fontId="4" fillId="0" borderId="57" xfId="38" applyNumberFormat="1" applyFont="1" applyFill="1" applyBorder="1" applyAlignment="1">
      <alignment horizontal="center" vertical="center"/>
    </xf>
    <xf numFmtId="182" fontId="4" fillId="0" borderId="57" xfId="38" applyNumberFormat="1" applyFont="1" applyFill="1" applyBorder="1" applyAlignment="1">
      <alignment horizontal="center" vertical="center"/>
    </xf>
    <xf numFmtId="182" fontId="4" fillId="0" borderId="58" xfId="38" applyNumberFormat="1" applyFont="1" applyFill="1" applyBorder="1" applyAlignment="1">
      <alignment horizontal="center" vertical="center"/>
    </xf>
    <xf numFmtId="0" fontId="4" fillId="0" borderId="57" xfId="38" applyFont="1" applyFill="1" applyBorder="1" applyAlignment="1">
      <alignment horizontal="center" vertical="center"/>
    </xf>
    <xf numFmtId="182" fontId="4" fillId="0" borderId="59" xfId="38" applyNumberFormat="1" applyFont="1" applyFill="1" applyBorder="1" applyAlignment="1">
      <alignment horizontal="center" vertical="center"/>
    </xf>
    <xf numFmtId="1" fontId="4" fillId="0" borderId="59" xfId="38" applyNumberFormat="1" applyFont="1" applyFill="1" applyBorder="1" applyAlignment="1">
      <alignment horizontal="center" vertical="center"/>
    </xf>
    <xf numFmtId="182" fontId="4" fillId="0" borderId="60" xfId="38" applyNumberFormat="1" applyFont="1" applyFill="1" applyBorder="1" applyAlignment="1">
      <alignment horizontal="center" vertical="center"/>
    </xf>
    <xf numFmtId="1" fontId="4" fillId="0" borderId="67" xfId="38" applyNumberFormat="1" applyFont="1" applyFill="1" applyBorder="1" applyAlignment="1">
      <alignment horizontal="center" vertical="center"/>
    </xf>
    <xf numFmtId="182" fontId="4" fillId="0" borderId="67" xfId="38" applyNumberFormat="1" applyFont="1" applyFill="1" applyBorder="1" applyAlignment="1">
      <alignment horizontal="center" vertical="center"/>
    </xf>
    <xf numFmtId="182" fontId="4" fillId="0" borderId="68" xfId="38" applyNumberFormat="1" applyFont="1" applyFill="1" applyBorder="1" applyAlignment="1">
      <alignment horizontal="center" vertical="center"/>
    </xf>
    <xf numFmtId="0" fontId="30" fillId="0" borderId="69" xfId="38" applyFont="1" applyFill="1" applyBorder="1" applyAlignment="1">
      <alignment horizontal="center" vertical="center"/>
    </xf>
    <xf numFmtId="0" fontId="30" fillId="0" borderId="70" xfId="38" applyFont="1" applyFill="1" applyBorder="1" applyAlignment="1">
      <alignment horizontal="center" vertical="center"/>
    </xf>
    <xf numFmtId="0" fontId="30" fillId="0" borderId="71" xfId="38" applyFont="1" applyFill="1" applyBorder="1" applyAlignment="1">
      <alignment horizontal="center" vertical="center"/>
    </xf>
    <xf numFmtId="1" fontId="4" fillId="0" borderId="72" xfId="38" applyNumberFormat="1" applyFont="1" applyFill="1" applyBorder="1" applyAlignment="1">
      <alignment horizontal="center" vertical="center"/>
    </xf>
    <xf numFmtId="1" fontId="4" fillId="0" borderId="73" xfId="38" applyNumberFormat="1" applyFont="1" applyFill="1" applyBorder="1" applyAlignment="1">
      <alignment horizontal="center" vertical="center"/>
    </xf>
    <xf numFmtId="182" fontId="4" fillId="0" borderId="73" xfId="38" applyNumberFormat="1" applyFont="1" applyFill="1" applyBorder="1" applyAlignment="1">
      <alignment horizontal="center" vertical="center"/>
    </xf>
    <xf numFmtId="182" fontId="4" fillId="0" borderId="74" xfId="38" applyNumberFormat="1" applyFont="1" applyFill="1" applyBorder="1" applyAlignment="1">
      <alignment horizontal="center" vertical="center"/>
    </xf>
    <xf numFmtId="0" fontId="30" fillId="0" borderId="10" xfId="38" applyNumberFormat="1" applyFont="1" applyFill="1" applyBorder="1" applyAlignment="1">
      <alignment horizontal="center" vertical="center"/>
    </xf>
    <xf numFmtId="0" fontId="30" fillId="0" borderId="0" xfId="53" applyFont="1" applyFill="1">
      <alignment vertical="center"/>
    </xf>
    <xf numFmtId="0" fontId="30" fillId="0" borderId="71" xfId="53" applyFont="1" applyFill="1" applyBorder="1" applyAlignment="1">
      <alignment horizontal="center" vertical="center"/>
    </xf>
    <xf numFmtId="0" fontId="30" fillId="0" borderId="69" xfId="53" applyFont="1" applyFill="1" applyBorder="1" applyAlignment="1">
      <alignment horizontal="center" vertical="center"/>
    </xf>
    <xf numFmtId="0" fontId="30" fillId="0" borderId="70" xfId="53" applyFont="1" applyFill="1" applyBorder="1" applyAlignment="1">
      <alignment horizontal="center" vertical="center"/>
    </xf>
    <xf numFmtId="178" fontId="30" fillId="0" borderId="57" xfId="53" applyNumberFormat="1" applyFont="1" applyFill="1" applyBorder="1" applyAlignment="1">
      <alignment horizontal="center" vertical="center"/>
    </xf>
    <xf numFmtId="178" fontId="30" fillId="0" borderId="67" xfId="53" applyNumberFormat="1" applyFont="1" applyFill="1" applyBorder="1" applyAlignment="1">
      <alignment horizontal="center" vertical="center"/>
    </xf>
    <xf numFmtId="0" fontId="30" fillId="0" borderId="81" xfId="53" applyFont="1" applyFill="1" applyBorder="1" applyAlignment="1">
      <alignment horizontal="center" vertical="center"/>
    </xf>
    <xf numFmtId="0" fontId="30" fillId="0" borderId="82" xfId="53" applyFont="1" applyFill="1" applyBorder="1" applyAlignment="1">
      <alignment horizontal="center" vertical="center"/>
    </xf>
    <xf numFmtId="178" fontId="30" fillId="0" borderId="83" xfId="53" applyNumberFormat="1" applyFont="1" applyFill="1" applyBorder="1" applyAlignment="1">
      <alignment horizontal="center" vertical="center"/>
    </xf>
    <xf numFmtId="178" fontId="30" fillId="0" borderId="84" xfId="53" applyNumberFormat="1" applyFont="1" applyFill="1" applyBorder="1" applyAlignment="1">
      <alignment horizontal="center" vertical="center"/>
    </xf>
    <xf numFmtId="0" fontId="30" fillId="0" borderId="10" xfId="53" applyFont="1" applyFill="1" applyBorder="1" applyAlignment="1">
      <alignment horizontal="center" vertical="center"/>
    </xf>
    <xf numFmtId="178" fontId="30" fillId="0" borderId="72" xfId="53" applyNumberFormat="1" applyFont="1" applyFill="1" applyBorder="1" applyAlignment="1">
      <alignment horizontal="center" vertical="center"/>
    </xf>
    <xf numFmtId="178" fontId="30" fillId="0" borderId="73" xfId="53" applyNumberFormat="1" applyFont="1" applyFill="1" applyBorder="1" applyAlignment="1">
      <alignment horizontal="center" vertical="center"/>
    </xf>
    <xf numFmtId="181" fontId="29" fillId="0" borderId="85" xfId="53" applyNumberFormat="1" applyFont="1" applyFill="1" applyBorder="1" applyAlignment="1">
      <alignment horizontal="left" vertical="center"/>
    </xf>
    <xf numFmtId="178" fontId="30" fillId="0" borderId="79" xfId="53" applyNumberFormat="1" applyFont="1" applyFill="1" applyBorder="1" applyAlignment="1">
      <alignment horizontal="center" vertical="center"/>
    </xf>
    <xf numFmtId="181" fontId="29" fillId="0" borderId="86" xfId="53" applyNumberFormat="1" applyFont="1" applyFill="1" applyBorder="1" applyAlignment="1">
      <alignment horizontal="left" vertical="center"/>
    </xf>
    <xf numFmtId="178" fontId="30" fillId="0" borderId="80" xfId="53" applyNumberFormat="1" applyFont="1" applyFill="1" applyBorder="1" applyAlignment="1">
      <alignment horizontal="center" vertical="center"/>
    </xf>
    <xf numFmtId="0" fontId="30" fillId="0" borderId="0" xfId="53" applyFont="1" applyFill="1" applyAlignment="1">
      <alignment horizontal="left" vertical="center"/>
    </xf>
    <xf numFmtId="0" fontId="30" fillId="0" borderId="11" xfId="53" applyFont="1" applyFill="1" applyBorder="1" applyAlignment="1">
      <alignment horizontal="center" vertical="center"/>
    </xf>
    <xf numFmtId="0" fontId="30" fillId="0" borderId="12" xfId="53" applyFont="1" applyFill="1" applyBorder="1" applyAlignment="1">
      <alignment horizontal="center" vertical="center"/>
    </xf>
    <xf numFmtId="0" fontId="30" fillId="0" borderId="13" xfId="53" applyFont="1" applyFill="1" applyBorder="1" applyAlignment="1">
      <alignment horizontal="center" vertical="center"/>
    </xf>
    <xf numFmtId="0" fontId="30" fillId="0" borderId="1" xfId="53" applyFont="1" applyFill="1" applyBorder="1" applyAlignment="1">
      <alignment horizontal="center" vertical="center"/>
    </xf>
    <xf numFmtId="0" fontId="30" fillId="0" borderId="5" xfId="53" applyFont="1" applyFill="1" applyBorder="1" applyAlignment="1">
      <alignment horizontal="center" vertical="center"/>
    </xf>
    <xf numFmtId="0" fontId="30" fillId="0" borderId="26" xfId="53" applyFont="1" applyFill="1" applyBorder="1" applyAlignment="1">
      <alignment horizontal="center" vertical="center"/>
    </xf>
    <xf numFmtId="0" fontId="30" fillId="0" borderId="0" xfId="3" applyFont="1" applyFill="1" applyAlignment="1">
      <alignment vertical="center"/>
    </xf>
    <xf numFmtId="0" fontId="30" fillId="0" borderId="0" xfId="53" applyFont="1" applyFill="1" applyAlignment="1">
      <alignment vertical="center"/>
    </xf>
    <xf numFmtId="0" fontId="30" fillId="0" borderId="5" xfId="3" applyFont="1" applyFill="1" applyBorder="1" applyAlignment="1">
      <alignment horizontal="center" vertical="center"/>
    </xf>
    <xf numFmtId="0" fontId="30" fillId="0" borderId="26" xfId="3" applyFont="1" applyFill="1" applyBorder="1" applyAlignment="1">
      <alignment horizontal="center" vertical="center"/>
    </xf>
    <xf numFmtId="0" fontId="30" fillId="0" borderId="10" xfId="3" applyFont="1" applyFill="1" applyBorder="1" applyAlignment="1">
      <alignment horizontal="center" vertical="center"/>
    </xf>
    <xf numFmtId="0" fontId="30" fillId="0" borderId="1" xfId="3" applyFont="1" applyFill="1" applyBorder="1" applyAlignment="1">
      <alignment horizontal="center" vertical="center"/>
    </xf>
    <xf numFmtId="0" fontId="30" fillId="0" borderId="90" xfId="53" applyFont="1" applyFill="1" applyBorder="1" applyAlignment="1">
      <alignment horizontal="center" vertical="center"/>
    </xf>
    <xf numFmtId="0" fontId="30" fillId="0" borderId="47" xfId="53" applyFont="1" applyFill="1" applyBorder="1" applyAlignment="1">
      <alignment horizontal="center" vertical="center"/>
    </xf>
    <xf numFmtId="178" fontId="30" fillId="0" borderId="6" xfId="53" applyNumberFormat="1" applyFont="1" applyFill="1" applyBorder="1" applyAlignment="1">
      <alignment horizontal="center" vertical="center"/>
    </xf>
    <xf numFmtId="178" fontId="30" fillId="0" borderId="7" xfId="53" applyNumberFormat="1" applyFont="1" applyFill="1" applyBorder="1" applyAlignment="1">
      <alignment horizontal="center" vertical="center"/>
    </xf>
    <xf numFmtId="178" fontId="30" fillId="0" borderId="2" xfId="53" applyNumberFormat="1" applyFont="1" applyFill="1" applyBorder="1" applyAlignment="1">
      <alignment horizontal="center" vertical="center"/>
    </xf>
    <xf numFmtId="178" fontId="30" fillId="0" borderId="3" xfId="53" applyNumberFormat="1" applyFont="1" applyFill="1" applyBorder="1" applyAlignment="1">
      <alignment horizontal="center" vertical="center"/>
    </xf>
    <xf numFmtId="0" fontId="30" fillId="0" borderId="38" xfId="53" applyFont="1" applyFill="1" applyBorder="1" applyAlignment="1">
      <alignment horizontal="center" vertical="center"/>
    </xf>
    <xf numFmtId="0" fontId="30" fillId="0" borderId="48" xfId="53" applyFont="1" applyFill="1" applyBorder="1" applyAlignment="1">
      <alignment horizontal="center" vertical="center"/>
    </xf>
    <xf numFmtId="178" fontId="30" fillId="0" borderId="98" xfId="53" applyNumberFormat="1" applyFont="1" applyFill="1" applyBorder="1" applyAlignment="1">
      <alignment horizontal="center" vertical="center"/>
    </xf>
    <xf numFmtId="178" fontId="30" fillId="0" borderId="99" xfId="53" applyNumberFormat="1" applyFont="1" applyFill="1" applyBorder="1" applyAlignment="1">
      <alignment horizontal="center" vertical="center"/>
    </xf>
    <xf numFmtId="185" fontId="30" fillId="0" borderId="51" xfId="3" applyNumberFormat="1" applyFont="1" applyFill="1" applyBorder="1" applyAlignment="1">
      <alignment horizontal="center" vertical="center"/>
    </xf>
    <xf numFmtId="185" fontId="30" fillId="0" borderId="54" xfId="3" applyNumberFormat="1" applyFont="1" applyFill="1" applyBorder="1" applyAlignment="1">
      <alignment horizontal="center" vertical="center"/>
    </xf>
    <xf numFmtId="185" fontId="30" fillId="0" borderId="55" xfId="3" applyNumberFormat="1" applyFont="1" applyFill="1" applyBorder="1" applyAlignment="1">
      <alignment horizontal="center" vertical="center"/>
    </xf>
    <xf numFmtId="0" fontId="44" fillId="0" borderId="0" xfId="3" applyFont="1" applyFill="1" applyAlignment="1">
      <alignment vertical="center"/>
    </xf>
    <xf numFmtId="0" fontId="40" fillId="0" borderId="0" xfId="3" applyFont="1" applyFill="1" applyBorder="1" applyAlignment="1">
      <alignment horizontal="center" vertical="center"/>
    </xf>
    <xf numFmtId="0" fontId="29" fillId="0" borderId="21" xfId="3" applyFont="1" applyFill="1" applyBorder="1" applyAlignment="1">
      <alignment horizontal="center" vertical="center"/>
    </xf>
    <xf numFmtId="0" fontId="34" fillId="2" borderId="108" xfId="0" applyFont="1" applyFill="1" applyBorder="1" applyAlignment="1">
      <alignment horizontal="center" vertical="center"/>
    </xf>
    <xf numFmtId="0" fontId="34" fillId="2" borderId="109" xfId="0" applyFont="1" applyFill="1" applyBorder="1" applyAlignment="1">
      <alignment horizontal="center" vertical="center"/>
    </xf>
    <xf numFmtId="0" fontId="33" fillId="2" borderId="110" xfId="0" applyFont="1" applyFill="1" applyBorder="1" applyAlignment="1">
      <alignment horizontal="center" vertical="center"/>
    </xf>
    <xf numFmtId="0" fontId="45" fillId="11" borderId="116" xfId="0" applyFont="1" applyFill="1" applyBorder="1" applyAlignment="1">
      <alignment horizontal="center" vertical="center"/>
    </xf>
    <xf numFmtId="0" fontId="30" fillId="0" borderId="49" xfId="38" applyFont="1" applyFill="1" applyBorder="1" applyAlignment="1">
      <alignment horizontal="center" vertical="center"/>
    </xf>
    <xf numFmtId="0" fontId="30" fillId="0" borderId="32" xfId="38" applyFont="1" applyFill="1" applyBorder="1" applyAlignment="1">
      <alignment horizontal="center" vertical="center"/>
    </xf>
    <xf numFmtId="0" fontId="30" fillId="0" borderId="99" xfId="49" applyFont="1" applyFill="1" applyBorder="1" applyAlignment="1">
      <alignment horizontal="center" vertical="center" wrapText="1"/>
    </xf>
    <xf numFmtId="0" fontId="30" fillId="0" borderId="94" xfId="49" applyFont="1" applyFill="1" applyBorder="1" applyAlignment="1">
      <alignment horizontal="center" vertical="center" wrapText="1"/>
    </xf>
    <xf numFmtId="0" fontId="30" fillId="0" borderId="95" xfId="49" applyFont="1" applyFill="1" applyBorder="1" applyAlignment="1">
      <alignment horizontal="center" vertical="center" wrapText="1"/>
    </xf>
    <xf numFmtId="0" fontId="30" fillId="0" borderId="92" xfId="49" applyFont="1" applyFill="1" applyBorder="1" applyAlignment="1">
      <alignment horizontal="center" vertical="center" wrapText="1"/>
    </xf>
    <xf numFmtId="0" fontId="29" fillId="0" borderId="119" xfId="49" applyFont="1" applyFill="1" applyBorder="1" applyAlignment="1">
      <alignment horizontal="center" vertical="center"/>
    </xf>
    <xf numFmtId="3" fontId="30" fillId="0" borderId="101" xfId="49" applyNumberFormat="1" applyFont="1" applyFill="1" applyBorder="1" applyAlignment="1">
      <alignment horizontal="center" vertical="center"/>
    </xf>
    <xf numFmtId="3" fontId="30" fillId="0" borderId="120" xfId="49" applyNumberFormat="1" applyFont="1" applyFill="1" applyBorder="1" applyAlignment="1">
      <alignment horizontal="center" vertical="center"/>
    </xf>
    <xf numFmtId="3" fontId="30" fillId="0" borderId="121" xfId="49" applyNumberFormat="1" applyFont="1" applyFill="1" applyBorder="1" applyAlignment="1">
      <alignment horizontal="center" vertical="center"/>
    </xf>
    <xf numFmtId="3" fontId="30" fillId="0" borderId="105" xfId="9" applyNumberFormat="1" applyFont="1" applyFill="1" applyBorder="1" applyAlignment="1">
      <alignment horizontal="center" vertical="center"/>
    </xf>
    <xf numFmtId="0" fontId="30" fillId="0" borderId="122" xfId="49" applyFont="1" applyFill="1" applyBorder="1" applyAlignment="1">
      <alignment horizontal="center" vertical="center"/>
    </xf>
    <xf numFmtId="3" fontId="30" fillId="0" borderId="106" xfId="49" applyNumberFormat="1" applyFont="1" applyFill="1" applyBorder="1" applyAlignment="1">
      <alignment horizontal="center" vertical="center"/>
    </xf>
    <xf numFmtId="3" fontId="30" fillId="0" borderId="15" xfId="49" applyNumberFormat="1" applyFont="1" applyFill="1" applyBorder="1" applyAlignment="1">
      <alignment horizontal="center" vertical="center"/>
    </xf>
    <xf numFmtId="3" fontId="30" fillId="0" borderId="123" xfId="49" applyNumberFormat="1" applyFont="1" applyFill="1" applyBorder="1" applyAlignment="1">
      <alignment horizontal="center" vertical="center"/>
    </xf>
    <xf numFmtId="3" fontId="30" fillId="0" borderId="107" xfId="9" applyNumberFormat="1" applyFont="1" applyFill="1" applyBorder="1" applyAlignment="1">
      <alignment horizontal="center" vertical="center"/>
    </xf>
    <xf numFmtId="0" fontId="29" fillId="0" borderId="122" xfId="49" applyFont="1" applyFill="1" applyBorder="1" applyAlignment="1">
      <alignment horizontal="center" vertical="center"/>
    </xf>
    <xf numFmtId="0" fontId="29" fillId="0" borderId="99" xfId="49" applyFont="1" applyFill="1" applyBorder="1" applyAlignment="1">
      <alignment horizontal="center" vertical="center"/>
    </xf>
    <xf numFmtId="3" fontId="30" fillId="0" borderId="94" xfId="49" applyNumberFormat="1" applyFont="1" applyFill="1" applyBorder="1" applyAlignment="1">
      <alignment horizontal="center" vertical="center"/>
    </xf>
    <xf numFmtId="3" fontId="30" fillId="0" borderId="95" xfId="49" applyNumberFormat="1" applyFont="1" applyFill="1" applyBorder="1" applyAlignment="1">
      <alignment horizontal="center" vertical="center"/>
    </xf>
    <xf numFmtId="3" fontId="30" fillId="0" borderId="63" xfId="49" applyNumberFormat="1" applyFont="1" applyFill="1" applyBorder="1" applyAlignment="1">
      <alignment horizontal="center" vertical="center"/>
    </xf>
    <xf numFmtId="3" fontId="30" fillId="0" borderId="92" xfId="9" applyNumberFormat="1" applyFont="1" applyFill="1" applyBorder="1" applyAlignment="1">
      <alignment horizontal="center" vertical="center"/>
    </xf>
    <xf numFmtId="0" fontId="30" fillId="0" borderId="98" xfId="49" applyFont="1" applyFill="1" applyBorder="1" applyAlignment="1">
      <alignment horizontal="center" vertical="center"/>
    </xf>
    <xf numFmtId="183" fontId="30" fillId="0" borderId="56" xfId="49" applyNumberFormat="1" applyFont="1" applyFill="1" applyBorder="1" applyAlignment="1">
      <alignment horizontal="center" vertical="center"/>
    </xf>
    <xf numFmtId="183" fontId="30" fillId="0" borderId="44" xfId="49" applyNumberFormat="1" applyFont="1" applyFill="1" applyBorder="1" applyAlignment="1">
      <alignment horizontal="center" vertical="center"/>
    </xf>
    <xf numFmtId="183" fontId="30" fillId="0" borderId="45" xfId="49" applyNumberFormat="1" applyFont="1" applyFill="1" applyBorder="1" applyAlignment="1">
      <alignment horizontal="center" vertical="center"/>
    </xf>
    <xf numFmtId="178" fontId="30" fillId="0" borderId="90" xfId="53" applyNumberFormat="1" applyFont="1" applyFill="1" applyBorder="1" applyAlignment="1">
      <alignment horizontal="center" vertical="center"/>
    </xf>
    <xf numFmtId="178" fontId="30" fillId="0" borderId="47" xfId="53" applyNumberFormat="1" applyFont="1" applyFill="1" applyBorder="1" applyAlignment="1">
      <alignment horizontal="center" vertical="center"/>
    </xf>
    <xf numFmtId="178" fontId="30" fillId="0" borderId="48" xfId="53" applyNumberFormat="1" applyFont="1" applyFill="1" applyBorder="1" applyAlignment="1">
      <alignment horizontal="center" vertical="center"/>
    </xf>
    <xf numFmtId="0" fontId="4" fillId="0" borderId="23" xfId="38" applyFont="1" applyFill="1" applyBorder="1" applyAlignment="1">
      <alignment vertical="center"/>
    </xf>
    <xf numFmtId="0" fontId="4" fillId="0" borderId="23" xfId="38" applyNumberFormat="1" applyFont="1" applyFill="1" applyBorder="1" applyAlignment="1">
      <alignment horizontal="center" vertical="center"/>
    </xf>
    <xf numFmtId="183" fontId="30" fillId="0" borderId="176" xfId="3" applyNumberFormat="1" applyFont="1" applyFill="1" applyBorder="1" applyAlignment="1">
      <alignment horizontal="center" vertical="center"/>
    </xf>
    <xf numFmtId="183" fontId="30" fillId="0" borderId="14" xfId="3" applyNumberFormat="1" applyFont="1" applyFill="1" applyBorder="1" applyAlignment="1">
      <alignment horizontal="center" vertical="center"/>
    </xf>
    <xf numFmtId="183" fontId="30" fillId="0" borderId="100" xfId="3" applyNumberFormat="1" applyFont="1" applyFill="1" applyBorder="1" applyAlignment="1">
      <alignment horizontal="center" vertical="center"/>
    </xf>
    <xf numFmtId="0" fontId="29" fillId="0" borderId="27" xfId="56" applyNumberFormat="1" applyFont="1" applyFill="1" applyBorder="1" applyAlignment="1">
      <alignment horizontal="center" vertical="center"/>
    </xf>
    <xf numFmtId="0" fontId="30" fillId="0" borderId="13" xfId="56" applyNumberFormat="1" applyFont="1" applyFill="1" applyBorder="1" applyAlignment="1">
      <alignment horizontal="center" vertical="center"/>
    </xf>
    <xf numFmtId="0" fontId="30" fillId="0" borderId="28" xfId="56" applyNumberFormat="1" applyFont="1" applyFill="1" applyBorder="1" applyAlignment="1">
      <alignment horizontal="center" vertical="center"/>
    </xf>
    <xf numFmtId="0" fontId="29" fillId="0" borderId="65" xfId="56" applyNumberFormat="1" applyFont="1" applyFill="1" applyBorder="1" applyAlignment="1">
      <alignment horizontal="center" vertical="center"/>
    </xf>
    <xf numFmtId="0" fontId="30" fillId="0" borderId="31" xfId="56" applyNumberFormat="1" applyFont="1" applyFill="1" applyBorder="1" applyAlignment="1">
      <alignment horizontal="center" vertical="center"/>
    </xf>
    <xf numFmtId="0" fontId="30" fillId="0" borderId="35" xfId="56" applyNumberFormat="1" applyFont="1" applyFill="1" applyBorder="1" applyAlignment="1">
      <alignment horizontal="center" vertical="center"/>
    </xf>
    <xf numFmtId="0" fontId="30" fillId="0" borderId="32" xfId="56" applyNumberFormat="1" applyFont="1" applyFill="1" applyBorder="1" applyAlignment="1">
      <alignment horizontal="center" vertical="center"/>
    </xf>
    <xf numFmtId="0" fontId="30" fillId="0" borderId="36" xfId="56" applyNumberFormat="1" applyFont="1" applyFill="1" applyBorder="1" applyAlignment="1">
      <alignment horizontal="center" vertical="center"/>
    </xf>
    <xf numFmtId="0" fontId="30" fillId="0" borderId="0" xfId="56" applyFont="1" applyFill="1" applyAlignment="1">
      <alignment vertical="center"/>
    </xf>
    <xf numFmtId="0" fontId="30" fillId="0" borderId="177" xfId="49" applyFont="1" applyBorder="1"/>
    <xf numFmtId="0" fontId="36" fillId="0" borderId="177" xfId="38" applyFont="1" applyBorder="1">
      <alignment vertical="center"/>
    </xf>
    <xf numFmtId="0" fontId="36" fillId="0" borderId="23" xfId="38" applyFont="1" applyBorder="1">
      <alignment vertical="center"/>
    </xf>
    <xf numFmtId="181" fontId="29" fillId="0" borderId="178" xfId="53" applyNumberFormat="1" applyFont="1" applyFill="1" applyBorder="1" applyAlignment="1">
      <alignment horizontal="left" vertical="center"/>
    </xf>
    <xf numFmtId="178" fontId="30" fillId="0" borderId="179" xfId="53" applyNumberFormat="1" applyFont="1" applyFill="1" applyBorder="1" applyAlignment="1">
      <alignment horizontal="center" vertical="center"/>
    </xf>
    <xf numFmtId="178" fontId="30" fillId="0" borderId="180" xfId="53" applyNumberFormat="1" applyFont="1" applyFill="1" applyBorder="1" applyAlignment="1">
      <alignment horizontal="center" vertical="center"/>
    </xf>
    <xf numFmtId="178" fontId="30" fillId="0" borderId="181" xfId="53" applyNumberFormat="1" applyFont="1" applyFill="1" applyBorder="1" applyAlignment="1">
      <alignment horizontal="center" vertical="center"/>
    </xf>
    <xf numFmtId="178" fontId="30" fillId="0" borderId="182" xfId="53" applyNumberFormat="1" applyFont="1" applyFill="1" applyBorder="1" applyAlignment="1">
      <alignment horizontal="center" vertical="center"/>
    </xf>
    <xf numFmtId="0" fontId="30" fillId="0" borderId="23" xfId="49" applyFont="1" applyBorder="1"/>
    <xf numFmtId="3" fontId="30" fillId="0" borderId="23" xfId="49" applyNumberFormat="1" applyFont="1" applyFill="1" applyBorder="1" applyAlignment="1">
      <alignment vertical="center"/>
    </xf>
    <xf numFmtId="0" fontId="30" fillId="0" borderId="2" xfId="38" applyFont="1" applyFill="1" applyBorder="1" applyAlignment="1">
      <alignment horizontal="center" vertical="center"/>
    </xf>
    <xf numFmtId="0" fontId="30" fillId="0" borderId="66" xfId="38" applyFont="1" applyFill="1" applyBorder="1" applyAlignment="1">
      <alignment horizontal="center" vertical="center"/>
    </xf>
    <xf numFmtId="0" fontId="30" fillId="0" borderId="21" xfId="38" applyFont="1" applyFill="1" applyBorder="1" applyAlignment="1">
      <alignment horizontal="center" vertical="center"/>
    </xf>
    <xf numFmtId="184" fontId="30" fillId="0" borderId="51" xfId="38" applyNumberFormat="1" applyFont="1" applyFill="1" applyBorder="1" applyAlignment="1">
      <alignment horizontal="center" vertical="center"/>
    </xf>
    <xf numFmtId="184" fontId="30" fillId="0" borderId="55" xfId="38" applyNumberFormat="1" applyFont="1" applyFill="1" applyBorder="1" applyAlignment="1">
      <alignment horizontal="center" vertical="center"/>
    </xf>
    <xf numFmtId="3" fontId="30" fillId="0" borderId="102" xfId="38" applyNumberFormat="1" applyFont="1" applyFill="1" applyBorder="1" applyAlignment="1">
      <alignment horizontal="center" vertical="center"/>
    </xf>
    <xf numFmtId="3" fontId="30" fillId="0" borderId="42" xfId="38" applyNumberFormat="1" applyFont="1" applyFill="1" applyBorder="1" applyAlignment="1">
      <alignment horizontal="center" vertical="center"/>
    </xf>
    <xf numFmtId="0" fontId="40" fillId="0" borderId="78" xfId="3" applyFont="1" applyFill="1" applyBorder="1" applyAlignment="1">
      <alignment vertical="center"/>
    </xf>
    <xf numFmtId="0" fontId="30" fillId="0" borderId="0" xfId="53" applyFont="1" applyFill="1" applyBorder="1" applyAlignment="1">
      <alignment vertical="center"/>
    </xf>
    <xf numFmtId="178" fontId="30" fillId="0" borderId="4" xfId="53" applyNumberFormat="1" applyFont="1" applyFill="1" applyBorder="1" applyAlignment="1">
      <alignment horizontal="center" vertical="center"/>
    </xf>
    <xf numFmtId="178" fontId="30" fillId="0" borderId="8" xfId="53" applyNumberFormat="1" applyFont="1" applyFill="1" applyBorder="1" applyAlignment="1">
      <alignment horizontal="center" vertical="center"/>
    </xf>
    <xf numFmtId="178" fontId="30" fillId="0" borderId="66" xfId="53" applyNumberFormat="1" applyFont="1" applyFill="1" applyBorder="1" applyAlignment="1">
      <alignment horizontal="center" vertical="center"/>
    </xf>
    <xf numFmtId="178" fontId="30" fillId="0" borderId="33" xfId="53" applyNumberFormat="1" applyFont="1" applyFill="1" applyBorder="1" applyAlignment="1">
      <alignment horizontal="center" vertical="center"/>
    </xf>
    <xf numFmtId="178" fontId="30" fillId="0" borderId="34" xfId="53" applyNumberFormat="1" applyFont="1" applyFill="1" applyBorder="1" applyAlignment="1">
      <alignment horizontal="center" vertical="center"/>
    </xf>
    <xf numFmtId="189" fontId="47" fillId="11" borderId="116" xfId="0" applyNumberFormat="1" applyFont="1" applyFill="1" applyBorder="1" applyAlignment="1">
      <alignment horizontal="center" vertical="center"/>
    </xf>
    <xf numFmtId="0" fontId="1" fillId="0" borderId="0" xfId="0" applyFont="1">
      <alignment vertical="center"/>
    </xf>
    <xf numFmtId="0" fontId="4" fillId="0" borderId="3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57" fillId="0" borderId="24" xfId="38" applyFont="1" applyFill="1" applyBorder="1" applyAlignment="1">
      <alignment horizontal="center" vertical="center"/>
    </xf>
    <xf numFmtId="178" fontId="56" fillId="12" borderId="64" xfId="38" applyNumberFormat="1" applyFont="1" applyFill="1" applyBorder="1" applyAlignment="1">
      <alignment horizontal="center" vertical="center"/>
    </xf>
    <xf numFmtId="178" fontId="56" fillId="12" borderId="30" xfId="38" applyNumberFormat="1" applyFont="1" applyFill="1" applyBorder="1" applyAlignment="1">
      <alignment horizontal="center" vertical="center"/>
    </xf>
    <xf numFmtId="189" fontId="59" fillId="12" borderId="197" xfId="0" applyNumberFormat="1" applyFont="1" applyFill="1" applyBorder="1" applyAlignment="1">
      <alignment horizontal="center" vertical="center"/>
    </xf>
    <xf numFmtId="189" fontId="59" fillId="12" borderId="198" xfId="0" applyNumberFormat="1" applyFont="1" applyFill="1" applyBorder="1" applyAlignment="1">
      <alignment horizontal="center" vertical="center"/>
    </xf>
    <xf numFmtId="189" fontId="59" fillId="12" borderId="199" xfId="0" applyNumberFormat="1" applyFont="1" applyFill="1" applyBorder="1" applyAlignment="1">
      <alignment horizontal="center" vertical="center"/>
    </xf>
    <xf numFmtId="189" fontId="59" fillId="12" borderId="200" xfId="0" applyNumberFormat="1" applyFont="1" applyFill="1" applyBorder="1" applyAlignment="1">
      <alignment horizontal="center" vertical="center"/>
    </xf>
    <xf numFmtId="189" fontId="59" fillId="12" borderId="201" xfId="0" applyNumberFormat="1" applyFont="1" applyFill="1" applyBorder="1" applyAlignment="1">
      <alignment horizontal="center" vertical="center"/>
    </xf>
    <xf numFmtId="189" fontId="59" fillId="12" borderId="202" xfId="0" applyNumberFormat="1" applyFont="1" applyFill="1" applyBorder="1" applyAlignment="1">
      <alignment horizontal="center" vertical="center"/>
    </xf>
    <xf numFmtId="3" fontId="60" fillId="10" borderId="111" xfId="9" applyNumberFormat="1" applyFont="1" applyFill="1" applyBorder="1" applyAlignment="1">
      <alignment horizontal="center" vertical="center"/>
    </xf>
    <xf numFmtId="3" fontId="60" fillId="10" borderId="125" xfId="9" applyNumberFormat="1" applyFont="1" applyFill="1" applyBorder="1" applyAlignment="1">
      <alignment horizontal="center" vertical="center"/>
    </xf>
    <xf numFmtId="3" fontId="60" fillId="10" borderId="112" xfId="9" applyNumberFormat="1" applyFont="1" applyFill="1" applyBorder="1" applyAlignment="1">
      <alignment horizontal="center" vertical="center"/>
    </xf>
    <xf numFmtId="183" fontId="47" fillId="11" borderId="116" xfId="9" applyNumberFormat="1" applyFont="1" applyFill="1" applyBorder="1" applyAlignment="1">
      <alignment horizontal="center" vertical="center"/>
    </xf>
    <xf numFmtId="0" fontId="60" fillId="10" borderId="111" xfId="0" applyFont="1" applyFill="1" applyBorder="1" applyAlignment="1">
      <alignment horizontal="center" vertical="center"/>
    </xf>
    <xf numFmtId="0" fontId="60" fillId="10" borderId="112" xfId="0" applyFont="1" applyFill="1" applyBorder="1" applyAlignment="1">
      <alignment horizontal="center" vertical="center"/>
    </xf>
    <xf numFmtId="0" fontId="47" fillId="11" borderId="113" xfId="0" applyFont="1" applyFill="1" applyBorder="1" applyAlignment="1">
      <alignment horizontal="center" vertical="center"/>
    </xf>
    <xf numFmtId="3" fontId="61" fillId="11" borderId="116" xfId="38" applyNumberFormat="1" applyFont="1" applyFill="1" applyBorder="1" applyAlignment="1">
      <alignment horizontal="center" vertical="center"/>
    </xf>
    <xf numFmtId="3" fontId="60" fillId="10" borderId="114" xfId="38" applyNumberFormat="1" applyFont="1" applyFill="1" applyBorder="1" applyAlignment="1">
      <alignment horizontal="center" vertical="center"/>
    </xf>
    <xf numFmtId="3" fontId="60" fillId="10" borderId="115" xfId="38" applyNumberFormat="1" applyFont="1" applyFill="1" applyBorder="1" applyAlignment="1">
      <alignment horizontal="center" vertical="center"/>
    </xf>
    <xf numFmtId="189" fontId="60" fillId="10" borderId="188" xfId="0" applyNumberFormat="1" applyFont="1" applyFill="1" applyBorder="1" applyAlignment="1">
      <alignment horizontal="center" vertical="center"/>
    </xf>
    <xf numFmtId="189" fontId="60" fillId="10" borderId="189" xfId="0" applyNumberFormat="1" applyFont="1" applyFill="1" applyBorder="1" applyAlignment="1">
      <alignment horizontal="center" vertical="center"/>
    </xf>
    <xf numFmtId="189" fontId="60" fillId="10" borderId="190" xfId="0" applyNumberFormat="1" applyFont="1" applyFill="1" applyBorder="1" applyAlignment="1">
      <alignment horizontal="center" vertical="center"/>
    </xf>
    <xf numFmtId="189" fontId="60" fillId="10" borderId="191" xfId="0" applyNumberFormat="1" applyFont="1" applyFill="1" applyBorder="1" applyAlignment="1">
      <alignment horizontal="center" vertical="center"/>
    </xf>
    <xf numFmtId="189" fontId="60" fillId="10" borderId="192" xfId="0" applyNumberFormat="1" applyFont="1" applyFill="1" applyBorder="1" applyAlignment="1">
      <alignment horizontal="center" vertical="center"/>
    </xf>
    <xf numFmtId="189" fontId="60" fillId="10" borderId="193" xfId="0" applyNumberFormat="1" applyFont="1" applyFill="1" applyBorder="1" applyAlignment="1">
      <alignment horizontal="center" vertical="center"/>
    </xf>
    <xf numFmtId="189" fontId="60" fillId="10" borderId="194" xfId="0" applyNumberFormat="1" applyFont="1" applyFill="1" applyBorder="1" applyAlignment="1">
      <alignment horizontal="center" vertical="center"/>
    </xf>
    <xf numFmtId="189" fontId="60" fillId="10" borderId="195" xfId="0" applyNumberFormat="1" applyFont="1" applyFill="1" applyBorder="1" applyAlignment="1">
      <alignment horizontal="center" vertical="center"/>
    </xf>
    <xf numFmtId="189" fontId="60" fillId="10" borderId="196" xfId="0" applyNumberFormat="1" applyFont="1" applyFill="1" applyBorder="1" applyAlignment="1">
      <alignment horizontal="center" vertical="center"/>
    </xf>
    <xf numFmtId="3" fontId="59" fillId="12" borderId="103" xfId="9" applyNumberFormat="1" applyFont="1" applyFill="1" applyBorder="1" applyAlignment="1">
      <alignment horizontal="center" vertical="center"/>
    </xf>
    <xf numFmtId="3" fontId="59" fillId="12" borderId="104" xfId="9" applyNumberFormat="1" applyFont="1" applyFill="1" applyBorder="1" applyAlignment="1">
      <alignment horizontal="center" vertical="center"/>
    </xf>
    <xf numFmtId="3" fontId="59" fillId="12" borderId="93" xfId="9" applyNumberFormat="1" applyFont="1" applyFill="1" applyBorder="1" applyAlignment="1">
      <alignment horizontal="center" vertical="center"/>
    </xf>
    <xf numFmtId="0" fontId="55" fillId="0" borderId="93" xfId="49" applyFont="1" applyFill="1" applyBorder="1" applyAlignment="1">
      <alignment horizontal="center" vertical="center" wrapText="1"/>
    </xf>
    <xf numFmtId="0" fontId="57" fillId="0" borderId="124" xfId="49" applyFont="1" applyFill="1" applyBorder="1" applyAlignment="1">
      <alignment horizontal="center" vertical="center"/>
    </xf>
    <xf numFmtId="178" fontId="60" fillId="10" borderId="126" xfId="53" applyNumberFormat="1" applyFont="1" applyFill="1" applyBorder="1" applyAlignment="1">
      <alignment horizontal="center" vertical="center"/>
    </xf>
    <xf numFmtId="178" fontId="60" fillId="10" borderId="127" xfId="53" applyNumberFormat="1" applyFont="1" applyFill="1" applyBorder="1" applyAlignment="1">
      <alignment horizontal="center" vertical="center"/>
    </xf>
    <xf numFmtId="178" fontId="60" fillId="10" borderId="128" xfId="53" applyNumberFormat="1" applyFont="1" applyFill="1" applyBorder="1" applyAlignment="1">
      <alignment horizontal="center" vertical="center"/>
    </xf>
    <xf numFmtId="178" fontId="60" fillId="10" borderId="129" xfId="53" applyNumberFormat="1" applyFont="1" applyFill="1" applyBorder="1" applyAlignment="1">
      <alignment horizontal="center" vertical="center"/>
    </xf>
    <xf numFmtId="178" fontId="60" fillId="10" borderId="130" xfId="53" applyNumberFormat="1" applyFont="1" applyFill="1" applyBorder="1" applyAlignment="1">
      <alignment horizontal="center" vertical="center"/>
    </xf>
    <xf numFmtId="178" fontId="60" fillId="10" borderId="131" xfId="53" applyNumberFormat="1" applyFont="1" applyFill="1" applyBorder="1" applyAlignment="1">
      <alignment horizontal="center" vertical="center"/>
    </xf>
    <xf numFmtId="178" fontId="60" fillId="10" borderId="132" xfId="53" applyNumberFormat="1" applyFont="1" applyFill="1" applyBorder="1" applyAlignment="1">
      <alignment horizontal="center" vertical="center"/>
    </xf>
    <xf numFmtId="178" fontId="60" fillId="10" borderId="133" xfId="53" applyNumberFormat="1" applyFont="1" applyFill="1" applyBorder="1" applyAlignment="1">
      <alignment horizontal="center" vertical="center"/>
    </xf>
    <xf numFmtId="178" fontId="60" fillId="10" borderId="134" xfId="53" applyNumberFormat="1" applyFont="1" applyFill="1" applyBorder="1" applyAlignment="1">
      <alignment horizontal="center" vertical="center"/>
    </xf>
    <xf numFmtId="178" fontId="47" fillId="11" borderId="116" xfId="53" applyNumberFormat="1" applyFont="1" applyFill="1" applyBorder="1" applyAlignment="1">
      <alignment horizontal="center" vertical="center"/>
    </xf>
    <xf numFmtId="178" fontId="59" fillId="12" borderId="51" xfId="53" quotePrefix="1" applyNumberFormat="1" applyFont="1" applyFill="1" applyBorder="1" applyAlignment="1">
      <alignment horizontal="center" vertical="center"/>
    </xf>
    <xf numFmtId="178" fontId="59" fillId="12" borderId="54" xfId="53" quotePrefix="1" applyNumberFormat="1" applyFont="1" applyFill="1" applyBorder="1" applyAlignment="1">
      <alignment horizontal="center" vertical="center"/>
    </xf>
    <xf numFmtId="178" fontId="59" fillId="12" borderId="55" xfId="53" quotePrefix="1" applyNumberFormat="1" applyFont="1" applyFill="1" applyBorder="1" applyAlignment="1">
      <alignment horizontal="center" vertical="center"/>
    </xf>
    <xf numFmtId="178" fontId="59" fillId="12" borderId="2" xfId="53" applyNumberFormat="1" applyFont="1" applyFill="1" applyBorder="1" applyAlignment="1">
      <alignment horizontal="center" vertical="center"/>
    </xf>
    <xf numFmtId="178" fontId="59" fillId="12" borderId="3" xfId="53" applyNumberFormat="1" applyFont="1" applyFill="1" applyBorder="1" applyAlignment="1">
      <alignment horizontal="center" vertical="center"/>
    </xf>
    <xf numFmtId="178" fontId="59" fillId="12" borderId="4" xfId="53" applyNumberFormat="1" applyFont="1" applyFill="1" applyBorder="1" applyAlignment="1">
      <alignment horizontal="center" vertical="center"/>
    </xf>
    <xf numFmtId="178" fontId="59" fillId="12" borderId="6" xfId="53" applyNumberFormat="1" applyFont="1" applyFill="1" applyBorder="1" applyAlignment="1">
      <alignment horizontal="center" vertical="center"/>
    </xf>
    <xf numFmtId="178" fontId="59" fillId="12" borderId="7" xfId="53" applyNumberFormat="1" applyFont="1" applyFill="1" applyBorder="1" applyAlignment="1">
      <alignment horizontal="center" vertical="center"/>
    </xf>
    <xf numFmtId="178" fontId="59" fillId="12" borderId="8" xfId="53" applyNumberFormat="1" applyFont="1" applyFill="1" applyBorder="1" applyAlignment="1">
      <alignment horizontal="center" vertical="center"/>
    </xf>
    <xf numFmtId="178" fontId="59" fillId="12" borderId="66" xfId="53" applyNumberFormat="1" applyFont="1" applyFill="1" applyBorder="1" applyAlignment="1">
      <alignment horizontal="center" vertical="center"/>
    </xf>
    <xf numFmtId="178" fontId="59" fillId="12" borderId="33" xfId="53" applyNumberFormat="1" applyFont="1" applyFill="1" applyBorder="1" applyAlignment="1">
      <alignment horizontal="center" vertical="center"/>
    </xf>
    <xf numFmtId="178" fontId="59" fillId="12" borderId="34" xfId="53" applyNumberFormat="1" applyFont="1" applyFill="1" applyBorder="1" applyAlignment="1">
      <alignment horizontal="center" vertical="center"/>
    </xf>
    <xf numFmtId="178" fontId="59" fillId="12" borderId="1" xfId="53" quotePrefix="1" applyNumberFormat="1" applyFont="1" applyFill="1" applyBorder="1" applyAlignment="1">
      <alignment horizontal="center" vertical="center"/>
    </xf>
    <xf numFmtId="178" fontId="59" fillId="12" borderId="5" xfId="53" quotePrefix="1" applyNumberFormat="1" applyFont="1" applyFill="1" applyBorder="1" applyAlignment="1">
      <alignment horizontal="center" vertical="center"/>
    </xf>
    <xf numFmtId="178" fontId="59" fillId="12" borderId="26" xfId="53" quotePrefix="1" applyNumberFormat="1" applyFont="1" applyFill="1" applyBorder="1" applyAlignment="1">
      <alignment horizontal="center" vertical="center"/>
    </xf>
    <xf numFmtId="0" fontId="49" fillId="0" borderId="118" xfId="53" applyFont="1" applyFill="1" applyBorder="1" applyAlignment="1">
      <alignment horizontal="right" vertical="center"/>
    </xf>
    <xf numFmtId="0" fontId="55" fillId="0" borderId="10" xfId="53" applyFont="1" applyFill="1" applyBorder="1" applyAlignment="1">
      <alignment horizontal="center" vertical="center"/>
    </xf>
    <xf numFmtId="0" fontId="55" fillId="0" borderId="11" xfId="53" applyFont="1" applyFill="1" applyBorder="1" applyAlignment="1">
      <alignment horizontal="center" vertical="center"/>
    </xf>
    <xf numFmtId="0" fontId="55" fillId="0" borderId="12" xfId="53" applyFont="1" applyFill="1" applyBorder="1" applyAlignment="1">
      <alignment horizontal="center" vertical="center"/>
    </xf>
    <xf numFmtId="0" fontId="55" fillId="0" borderId="13" xfId="53" applyFont="1" applyFill="1" applyBorder="1" applyAlignment="1">
      <alignment horizontal="center" vertical="center"/>
    </xf>
    <xf numFmtId="0" fontId="55" fillId="0" borderId="1" xfId="53" applyFont="1" applyFill="1" applyBorder="1" applyAlignment="1">
      <alignment horizontal="center" vertical="center"/>
    </xf>
    <xf numFmtId="0" fontId="55" fillId="0" borderId="5" xfId="53" applyFont="1" applyFill="1" applyBorder="1" applyAlignment="1">
      <alignment horizontal="center" vertical="center"/>
    </xf>
    <xf numFmtId="0" fontId="55" fillId="0" borderId="26" xfId="53" applyFont="1" applyFill="1" applyBorder="1" applyAlignment="1">
      <alignment horizontal="center" vertical="center"/>
    </xf>
    <xf numFmtId="181" fontId="32" fillId="0" borderId="75" xfId="38" applyNumberFormat="1" applyFont="1" applyFill="1" applyBorder="1" applyAlignment="1">
      <alignment horizontal="left" vertical="center"/>
    </xf>
    <xf numFmtId="181" fontId="32" fillId="0" borderId="76" xfId="38" applyNumberFormat="1" applyFont="1" applyFill="1" applyBorder="1" applyAlignment="1">
      <alignment horizontal="left" vertical="center"/>
    </xf>
    <xf numFmtId="181" fontId="39" fillId="0" borderId="77" xfId="51" applyNumberFormat="1" applyFont="1" applyFill="1" applyBorder="1" applyAlignment="1">
      <alignment horizontal="left" vertical="center" wrapText="1"/>
    </xf>
    <xf numFmtId="0" fontId="30" fillId="0" borderId="0" xfId="53" applyFont="1" applyFill="1" applyBorder="1" applyAlignment="1">
      <alignment horizontal="center" vertical="center"/>
    </xf>
    <xf numFmtId="0" fontId="30" fillId="0" borderId="7" xfId="3" applyFont="1" applyFill="1" applyBorder="1" applyAlignment="1">
      <alignment horizontal="center" vertical="center"/>
    </xf>
    <xf numFmtId="0" fontId="30" fillId="0" borderId="33" xfId="3" applyFont="1" applyFill="1" applyBorder="1" applyAlignment="1">
      <alignment horizontal="center" vertical="center"/>
    </xf>
    <xf numFmtId="0" fontId="30" fillId="0" borderId="5" xfId="3" applyFont="1" applyFill="1" applyBorder="1" applyAlignment="1">
      <alignment horizontal="center" vertical="center"/>
    </xf>
    <xf numFmtId="0" fontId="30" fillId="0" borderId="26" xfId="3" applyFont="1" applyFill="1" applyBorder="1" applyAlignment="1">
      <alignment horizontal="center" vertical="center"/>
    </xf>
    <xf numFmtId="0" fontId="30" fillId="0" borderId="1" xfId="3" applyFont="1" applyFill="1" applyBorder="1" applyAlignment="1">
      <alignment horizontal="center" vertical="center"/>
    </xf>
    <xf numFmtId="0" fontId="30" fillId="0" borderId="2" xfId="3" applyFont="1" applyFill="1" applyBorder="1" applyAlignment="1">
      <alignment horizontal="center" vertical="center"/>
    </xf>
    <xf numFmtId="0" fontId="30" fillId="0" borderId="3" xfId="3" applyFont="1" applyFill="1" applyBorder="1" applyAlignment="1">
      <alignment horizontal="center" vertical="center"/>
    </xf>
    <xf numFmtId="0" fontId="30" fillId="0" borderId="6" xfId="3" applyFont="1" applyFill="1" applyBorder="1" applyAlignment="1">
      <alignment horizontal="center" vertical="center"/>
    </xf>
    <xf numFmtId="0" fontId="30" fillId="0" borderId="66" xfId="3" applyFont="1" applyFill="1" applyBorder="1" applyAlignment="1">
      <alignment horizontal="center" vertical="center"/>
    </xf>
    <xf numFmtId="0" fontId="30" fillId="0" borderId="52" xfId="3" applyFont="1" applyFill="1" applyBorder="1" applyAlignment="1">
      <alignment horizontal="center" vertical="center"/>
    </xf>
    <xf numFmtId="0" fontId="30" fillId="0" borderId="35" xfId="3" applyFont="1" applyFill="1" applyBorder="1" applyAlignment="1">
      <alignment horizontal="center" vertical="center"/>
    </xf>
    <xf numFmtId="0" fontId="30" fillId="0" borderId="36" xfId="3" applyFont="1" applyFill="1" applyBorder="1" applyAlignment="1">
      <alignment horizontal="center" vertical="center"/>
    </xf>
    <xf numFmtId="0" fontId="43" fillId="0" borderId="8" xfId="3" applyFont="1" applyFill="1" applyBorder="1" applyAlignment="1">
      <alignment horizontal="center" vertical="center"/>
    </xf>
    <xf numFmtId="0" fontId="43" fillId="0" borderId="65" xfId="3" applyFont="1" applyFill="1" applyBorder="1" applyAlignment="1">
      <alignment horizontal="center" vertical="center"/>
    </xf>
    <xf numFmtId="0" fontId="43" fillId="0" borderId="203" xfId="3" applyFont="1" applyFill="1" applyBorder="1" applyAlignment="1">
      <alignment horizontal="center" vertical="center"/>
    </xf>
    <xf numFmtId="0" fontId="43" fillId="0" borderId="51" xfId="3" applyFont="1" applyFill="1" applyBorder="1" applyAlignment="1">
      <alignment horizontal="center" vertical="center"/>
    </xf>
    <xf numFmtId="0" fontId="43" fillId="0" borderId="176" xfId="3" applyFont="1" applyFill="1" applyBorder="1" applyAlignment="1">
      <alignment horizontal="center" vertical="center"/>
    </xf>
    <xf numFmtId="0" fontId="43" fillId="0" borderId="55" xfId="3" applyFont="1" applyFill="1" applyBorder="1" applyAlignment="1">
      <alignment horizontal="center" vertical="center"/>
    </xf>
    <xf numFmtId="0" fontId="0" fillId="0" borderId="23" xfId="0" applyBorder="1">
      <alignment vertical="center"/>
    </xf>
    <xf numFmtId="0" fontId="60" fillId="10" borderId="136" xfId="53" applyFont="1" applyFill="1" applyBorder="1" applyAlignment="1">
      <alignment horizontal="center" vertical="center"/>
    </xf>
    <xf numFmtId="0" fontId="60" fillId="10" borderId="137" xfId="53" applyFont="1" applyFill="1" applyBorder="1" applyAlignment="1">
      <alignment horizontal="center" vertical="center"/>
    </xf>
    <xf numFmtId="0" fontId="60" fillId="10" borderId="141" xfId="53" applyFont="1" applyFill="1" applyBorder="1" applyAlignment="1">
      <alignment horizontal="center" vertical="center"/>
    </xf>
    <xf numFmtId="178" fontId="59" fillId="12" borderId="89" xfId="53" applyNumberFormat="1" applyFont="1" applyFill="1" applyBorder="1" applyAlignment="1">
      <alignment horizontal="center" vertical="center"/>
    </xf>
    <xf numFmtId="178" fontId="59" fillId="12" borderId="87" xfId="53" applyNumberFormat="1" applyFont="1" applyFill="1" applyBorder="1" applyAlignment="1">
      <alignment horizontal="center" vertical="center"/>
    </xf>
    <xf numFmtId="178" fontId="59" fillId="12" borderId="88" xfId="53" applyNumberFormat="1" applyFont="1" applyFill="1" applyBorder="1" applyAlignment="1">
      <alignment horizontal="center" vertical="center"/>
    </xf>
    <xf numFmtId="0" fontId="57" fillId="0" borderId="37" xfId="53" applyFont="1" applyFill="1" applyBorder="1" applyAlignment="1">
      <alignment horizontal="center" vertical="center"/>
    </xf>
    <xf numFmtId="0" fontId="49" fillId="0" borderId="39" xfId="53" applyFont="1" applyFill="1" applyBorder="1" applyAlignment="1">
      <alignment horizontal="right" vertical="center"/>
    </xf>
    <xf numFmtId="0" fontId="30" fillId="0" borderId="177" xfId="53" applyFont="1" applyFill="1" applyBorder="1">
      <alignment vertical="center"/>
    </xf>
    <xf numFmtId="0" fontId="30" fillId="0" borderId="204" xfId="53" applyFont="1" applyFill="1" applyBorder="1">
      <alignment vertical="center"/>
    </xf>
    <xf numFmtId="178" fontId="47" fillId="11" borderId="116" xfId="38" applyNumberFormat="1" applyFont="1" applyFill="1" applyBorder="1" applyAlignment="1">
      <alignment horizontal="center" vertical="center"/>
    </xf>
    <xf numFmtId="0" fontId="60" fillId="0" borderId="144" xfId="38" applyNumberFormat="1" applyFont="1" applyFill="1" applyBorder="1" applyAlignment="1">
      <alignment horizontal="center" vertical="center"/>
    </xf>
    <xf numFmtId="0" fontId="60" fillId="10" borderId="145" xfId="38" applyNumberFormat="1" applyFont="1" applyFill="1" applyBorder="1" applyAlignment="1">
      <alignment horizontal="center" vertical="center"/>
    </xf>
    <xf numFmtId="0" fontId="60" fillId="10" borderId="146" xfId="38" applyNumberFormat="1" applyFont="1" applyFill="1" applyBorder="1" applyAlignment="1">
      <alignment horizontal="center" vertical="center"/>
    </xf>
    <xf numFmtId="0" fontId="60" fillId="10" borderId="147" xfId="38" applyNumberFormat="1" applyFont="1" applyFill="1" applyBorder="1" applyAlignment="1">
      <alignment horizontal="center" vertical="center"/>
    </xf>
    <xf numFmtId="0" fontId="60" fillId="0" borderId="149" xfId="38" applyNumberFormat="1" applyFont="1" applyFill="1" applyBorder="1" applyAlignment="1">
      <alignment horizontal="center" vertical="center"/>
    </xf>
    <xf numFmtId="0" fontId="60" fillId="10" borderId="150" xfId="38" applyNumberFormat="1" applyFont="1" applyFill="1" applyBorder="1" applyAlignment="1">
      <alignment horizontal="center" vertical="center"/>
    </xf>
    <xf numFmtId="0" fontId="60" fillId="10" borderId="57" xfId="38" applyNumberFormat="1" applyFont="1" applyFill="1" applyBorder="1" applyAlignment="1">
      <alignment horizontal="center" vertical="center"/>
    </xf>
    <xf numFmtId="0" fontId="60" fillId="10" borderId="151" xfId="38" applyNumberFormat="1" applyFont="1" applyFill="1" applyBorder="1" applyAlignment="1">
      <alignment horizontal="center" vertical="center"/>
    </xf>
    <xf numFmtId="0" fontId="60" fillId="0" borderId="152" xfId="38" applyNumberFormat="1" applyFont="1" applyFill="1" applyBorder="1" applyAlignment="1">
      <alignment horizontal="center" vertical="center"/>
    </xf>
    <xf numFmtId="0" fontId="60" fillId="10" borderId="73" xfId="38" applyNumberFormat="1" applyFont="1" applyFill="1" applyBorder="1" applyAlignment="1">
      <alignment horizontal="center" vertical="center"/>
    </xf>
    <xf numFmtId="0" fontId="60" fillId="10" borderId="139" xfId="38" applyNumberFormat="1" applyFont="1" applyFill="1" applyBorder="1" applyAlignment="1">
      <alignment horizontal="center" vertical="center"/>
    </xf>
    <xf numFmtId="0" fontId="60" fillId="10" borderId="153" xfId="38" applyNumberFormat="1" applyFont="1" applyFill="1" applyBorder="1" applyAlignment="1">
      <alignment horizontal="center" vertical="center"/>
    </xf>
    <xf numFmtId="0" fontId="60" fillId="0" borderId="155" xfId="38" applyNumberFormat="1" applyFont="1" applyFill="1" applyBorder="1" applyAlignment="1">
      <alignment horizontal="center" vertical="center"/>
    </xf>
    <xf numFmtId="0" fontId="60" fillId="10" borderId="84" xfId="38" applyNumberFormat="1" applyFont="1" applyFill="1" applyBorder="1" applyAlignment="1">
      <alignment horizontal="center" vertical="center"/>
    </xf>
    <xf numFmtId="0" fontId="60" fillId="0" borderId="135" xfId="38" applyNumberFormat="1" applyFont="1" applyFill="1" applyBorder="1" applyAlignment="1">
      <alignment horizontal="center" vertical="center"/>
    </xf>
    <xf numFmtId="0" fontId="60" fillId="10" borderId="72" xfId="38" applyNumberFormat="1" applyFont="1" applyFill="1" applyBorder="1" applyAlignment="1">
      <alignment horizontal="center" vertical="center"/>
    </xf>
    <xf numFmtId="0" fontId="60" fillId="0" borderId="156" xfId="38" applyNumberFormat="1" applyFont="1" applyFill="1" applyBorder="1" applyAlignment="1">
      <alignment horizontal="center" vertical="center"/>
    </xf>
    <xf numFmtId="0" fontId="60" fillId="10" borderId="157" xfId="38" applyNumberFormat="1" applyFont="1" applyFill="1" applyBorder="1" applyAlignment="1">
      <alignment horizontal="center" vertical="center"/>
    </xf>
    <xf numFmtId="0" fontId="60" fillId="10" borderId="158" xfId="38" applyNumberFormat="1" applyFont="1" applyFill="1" applyBorder="1" applyAlignment="1">
      <alignment horizontal="center" vertical="center"/>
    </xf>
    <xf numFmtId="0" fontId="60" fillId="10" borderId="159" xfId="38" applyNumberFormat="1" applyFont="1" applyFill="1" applyBorder="1" applyAlignment="1">
      <alignment horizontal="center" vertical="center"/>
    </xf>
    <xf numFmtId="0" fontId="60" fillId="10" borderId="140" xfId="38" applyNumberFormat="1" applyFont="1" applyFill="1" applyBorder="1" applyAlignment="1">
      <alignment horizontal="center" vertical="center"/>
    </xf>
    <xf numFmtId="0" fontId="60" fillId="0" borderId="160" xfId="38" applyNumberFormat="1" applyFont="1" applyFill="1" applyBorder="1" applyAlignment="1">
      <alignment horizontal="center" vertical="center"/>
    </xf>
    <xf numFmtId="0" fontId="60" fillId="0" borderId="145" xfId="38" applyNumberFormat="1" applyFont="1" applyFill="1" applyBorder="1" applyAlignment="1">
      <alignment horizontal="center" vertical="center"/>
    </xf>
    <xf numFmtId="0" fontId="60" fillId="0" borderId="161" xfId="38" applyNumberFormat="1" applyFont="1" applyFill="1" applyBorder="1" applyAlignment="1">
      <alignment horizontal="center" vertical="center"/>
    </xf>
    <xf numFmtId="0" fontId="60" fillId="10" borderId="149" xfId="38" applyNumberFormat="1" applyFont="1" applyFill="1" applyBorder="1" applyAlignment="1">
      <alignment horizontal="center" vertical="center"/>
    </xf>
    <xf numFmtId="0" fontId="60" fillId="0" borderId="162" xfId="38" applyNumberFormat="1" applyFont="1" applyFill="1" applyBorder="1" applyAlignment="1">
      <alignment horizontal="center" vertical="center"/>
    </xf>
    <xf numFmtId="0" fontId="60" fillId="10" borderId="163" xfId="38" applyNumberFormat="1" applyFont="1" applyFill="1" applyBorder="1" applyAlignment="1">
      <alignment horizontal="center" vertical="center"/>
    </xf>
    <xf numFmtId="0" fontId="60" fillId="0" borderId="164" xfId="38" applyNumberFormat="1" applyFont="1" applyFill="1" applyBorder="1" applyAlignment="1">
      <alignment horizontal="center" vertical="center"/>
    </xf>
    <xf numFmtId="0" fontId="60" fillId="0" borderId="0" xfId="38" applyNumberFormat="1" applyFont="1" applyFill="1" applyBorder="1" applyAlignment="1">
      <alignment horizontal="center" vertical="center"/>
    </xf>
    <xf numFmtId="0" fontId="60" fillId="10" borderId="164" xfId="38" applyNumberFormat="1" applyFont="1" applyFill="1" applyBorder="1" applyAlignment="1">
      <alignment horizontal="center" vertical="center"/>
    </xf>
    <xf numFmtId="0" fontId="60" fillId="10" borderId="138" xfId="38" applyNumberFormat="1" applyFont="1" applyFill="1" applyBorder="1" applyAlignment="1">
      <alignment horizontal="center" vertical="center"/>
    </xf>
    <xf numFmtId="0" fontId="60" fillId="0" borderId="165" xfId="38" applyNumberFormat="1" applyFont="1" applyFill="1" applyBorder="1" applyAlignment="1">
      <alignment horizontal="center" vertical="center"/>
    </xf>
    <xf numFmtId="0" fontId="60" fillId="10" borderId="166" xfId="38" applyNumberFormat="1" applyFont="1" applyFill="1" applyBorder="1" applyAlignment="1">
      <alignment horizontal="center" vertical="center"/>
    </xf>
    <xf numFmtId="0" fontId="60" fillId="10" borderId="167" xfId="38" applyNumberFormat="1" applyFont="1" applyFill="1" applyBorder="1" applyAlignment="1">
      <alignment horizontal="center" vertical="center"/>
    </xf>
    <xf numFmtId="0" fontId="60" fillId="10" borderId="168" xfId="38" applyNumberFormat="1" applyFont="1" applyFill="1" applyBorder="1" applyAlignment="1">
      <alignment horizontal="center" vertical="center"/>
    </xf>
    <xf numFmtId="0" fontId="60" fillId="0" borderId="169" xfId="51" applyNumberFormat="1" applyFont="1" applyFill="1" applyBorder="1" applyAlignment="1">
      <alignment horizontal="center" vertical="center" wrapText="1"/>
    </xf>
    <xf numFmtId="0" fontId="60" fillId="10" borderId="170" xfId="38" applyNumberFormat="1" applyFont="1" applyFill="1" applyBorder="1" applyAlignment="1">
      <alignment horizontal="center" vertical="center"/>
    </xf>
    <xf numFmtId="0" fontId="60" fillId="10" borderId="171" xfId="38" applyNumberFormat="1" applyFont="1" applyFill="1" applyBorder="1" applyAlignment="1">
      <alignment horizontal="center" vertical="center"/>
    </xf>
    <xf numFmtId="0" fontId="60" fillId="10" borderId="162" xfId="38" applyNumberFormat="1" applyFont="1" applyFill="1" applyBorder="1" applyAlignment="1">
      <alignment horizontal="center" vertical="center"/>
    </xf>
    <xf numFmtId="0" fontId="54" fillId="12" borderId="25" xfId="38" applyFont="1" applyFill="1" applyBorder="1" applyAlignment="1">
      <alignment horizontal="center" vertical="center"/>
    </xf>
    <xf numFmtId="0" fontId="54" fillId="12" borderId="5" xfId="38" applyFont="1" applyFill="1" applyBorder="1" applyAlignment="1">
      <alignment horizontal="center" vertical="center"/>
    </xf>
    <xf numFmtId="0" fontId="54" fillId="12" borderId="26" xfId="38" applyFont="1" applyFill="1" applyBorder="1" applyAlignment="1">
      <alignment horizontal="center" vertical="center"/>
    </xf>
    <xf numFmtId="0" fontId="59" fillId="12" borderId="148" xfId="38" applyNumberFormat="1" applyFont="1" applyFill="1" applyBorder="1" applyAlignment="1">
      <alignment horizontal="center" vertical="center"/>
    </xf>
    <xf numFmtId="0" fontId="59" fillId="12" borderId="154" xfId="38" applyNumberFormat="1" applyFont="1" applyFill="1" applyBorder="1" applyAlignment="1">
      <alignment horizontal="center" vertical="center"/>
    </xf>
    <xf numFmtId="0" fontId="59" fillId="12" borderId="172" xfId="38" applyNumberFormat="1" applyFont="1" applyFill="1" applyBorder="1" applyAlignment="1">
      <alignment horizontal="center" vertical="center"/>
    </xf>
    <xf numFmtId="0" fontId="59" fillId="12" borderId="173" xfId="38" applyNumberFormat="1" applyFont="1" applyFill="1" applyBorder="1" applyAlignment="1">
      <alignment horizontal="center" vertical="center"/>
    </xf>
    <xf numFmtId="0" fontId="59" fillId="12" borderId="174" xfId="38" applyNumberFormat="1" applyFont="1" applyFill="1" applyBorder="1" applyAlignment="1">
      <alignment horizontal="center" vertical="center"/>
    </xf>
    <xf numFmtId="0" fontId="59" fillId="12" borderId="69" xfId="38" applyNumberFormat="1" applyFont="1" applyFill="1" applyBorder="1" applyAlignment="1">
      <alignment horizontal="center" vertical="center"/>
    </xf>
    <xf numFmtId="0" fontId="59" fillId="12" borderId="175" xfId="38" applyNumberFormat="1" applyFont="1" applyFill="1" applyBorder="1" applyAlignment="1">
      <alignment horizontal="center" vertical="center"/>
    </xf>
    <xf numFmtId="0" fontId="54" fillId="0" borderId="10" xfId="38" applyFont="1" applyFill="1" applyBorder="1" applyAlignment="1">
      <alignment horizontal="center" vertical="center"/>
    </xf>
    <xf numFmtId="0" fontId="55" fillId="0" borderId="10" xfId="38" applyNumberFormat="1" applyFont="1" applyFill="1" applyBorder="1" applyAlignment="1">
      <alignment horizontal="center" vertical="center"/>
    </xf>
    <xf numFmtId="0" fontId="30" fillId="0" borderId="0" xfId="3" applyFont="1" applyFill="1" applyBorder="1" applyAlignment="1">
      <alignment vertical="center"/>
    </xf>
    <xf numFmtId="0" fontId="30" fillId="0" borderId="53" xfId="3" applyFont="1" applyFill="1" applyBorder="1" applyAlignment="1">
      <alignment horizontal="center" vertical="center"/>
    </xf>
    <xf numFmtId="0" fontId="30" fillId="0" borderId="54" xfId="3" applyFont="1" applyFill="1" applyBorder="1" applyAlignment="1">
      <alignment horizontal="center" vertical="center"/>
    </xf>
    <xf numFmtId="0" fontId="30" fillId="0" borderId="55" xfId="3" applyFont="1" applyFill="1" applyBorder="1" applyAlignment="1">
      <alignment horizontal="center" vertical="center"/>
    </xf>
    <xf numFmtId="178" fontId="60" fillId="10" borderId="111" xfId="3" applyNumberFormat="1" applyFont="1" applyFill="1" applyBorder="1" applyAlignment="1">
      <alignment horizontal="center" vertical="center"/>
    </xf>
    <xf numFmtId="178" fontId="60" fillId="10" borderId="125" xfId="3" applyNumberFormat="1" applyFont="1" applyFill="1" applyBorder="1" applyAlignment="1">
      <alignment horizontal="center" vertical="center"/>
    </xf>
    <xf numFmtId="178" fontId="60" fillId="10" borderId="112" xfId="3" applyNumberFormat="1" applyFont="1" applyFill="1" applyBorder="1" applyAlignment="1">
      <alignment horizontal="center" vertical="center"/>
    </xf>
    <xf numFmtId="186" fontId="59" fillId="12" borderId="4" xfId="3" applyNumberFormat="1" applyFont="1" applyFill="1" applyBorder="1" applyAlignment="1">
      <alignment horizontal="center" vertical="center"/>
    </xf>
    <xf numFmtId="186" fontId="59" fillId="12" borderId="8" xfId="3" applyNumberFormat="1" applyFont="1" applyFill="1" applyBorder="1" applyAlignment="1">
      <alignment horizontal="center" vertical="center"/>
    </xf>
    <xf numFmtId="186" fontId="59" fillId="12" borderId="34" xfId="3" applyNumberFormat="1" applyFont="1" applyFill="1" applyBorder="1" applyAlignment="1">
      <alignment horizontal="center" vertical="center"/>
    </xf>
    <xf numFmtId="186" fontId="59" fillId="12" borderId="49" xfId="3" applyNumberFormat="1" applyFont="1" applyFill="1" applyBorder="1" applyAlignment="1">
      <alignment horizontal="center" vertical="center"/>
    </xf>
    <xf numFmtId="186" fontId="59" fillId="12" borderId="31" xfId="3" applyNumberFormat="1" applyFont="1" applyFill="1" applyBorder="1" applyAlignment="1">
      <alignment horizontal="center" vertical="center"/>
    </xf>
    <xf numFmtId="186" fontId="59" fillId="12" borderId="32" xfId="3" applyNumberFormat="1" applyFont="1" applyFill="1" applyBorder="1" applyAlignment="1">
      <alignment horizontal="center" vertical="center"/>
    </xf>
    <xf numFmtId="0" fontId="59" fillId="12" borderId="28" xfId="3" applyFont="1" applyFill="1" applyBorder="1" applyAlignment="1">
      <alignment horizontal="center" vertical="center"/>
    </xf>
    <xf numFmtId="0" fontId="59" fillId="12" borderId="30" xfId="3" applyFont="1" applyFill="1" applyBorder="1" applyAlignment="1">
      <alignment horizontal="center" vertical="center"/>
    </xf>
    <xf numFmtId="0" fontId="59" fillId="12" borderId="31" xfId="3" applyFont="1" applyFill="1" applyBorder="1" applyAlignment="1">
      <alignment horizontal="center" vertical="center"/>
    </xf>
    <xf numFmtId="0" fontId="59" fillId="12" borderId="8" xfId="3" applyFont="1" applyFill="1" applyBorder="1" applyAlignment="1">
      <alignment horizontal="center" vertical="center"/>
    </xf>
    <xf numFmtId="0" fontId="59" fillId="12" borderId="32" xfId="3" applyFont="1" applyFill="1" applyBorder="1" applyAlignment="1">
      <alignment horizontal="center" vertical="center"/>
    </xf>
    <xf numFmtId="0" fontId="59" fillId="12" borderId="34" xfId="3" applyFont="1" applyFill="1" applyBorder="1" applyAlignment="1">
      <alignment horizontal="center" vertical="center"/>
    </xf>
    <xf numFmtId="0" fontId="60" fillId="10" borderId="135" xfId="3" applyFont="1" applyFill="1" applyBorder="1" applyAlignment="1">
      <alignment horizontal="center" vertical="center"/>
    </xf>
    <xf numFmtId="0" fontId="60" fillId="10" borderId="114" xfId="3" applyFont="1" applyFill="1" applyBorder="1" applyAlignment="1">
      <alignment horizontal="center" vertical="center"/>
    </xf>
    <xf numFmtId="0" fontId="60" fillId="10" borderId="205" xfId="3" applyFont="1" applyFill="1" applyBorder="1" applyAlignment="1">
      <alignment horizontal="center" vertical="center"/>
    </xf>
    <xf numFmtId="0" fontId="60" fillId="10" borderId="112" xfId="3" applyFont="1" applyFill="1" applyBorder="1" applyAlignment="1">
      <alignment horizontal="center" vertical="center"/>
    </xf>
    <xf numFmtId="0" fontId="60" fillId="10" borderId="115" xfId="3" applyFont="1" applyFill="1" applyBorder="1" applyAlignment="1">
      <alignment horizontal="center" vertical="center"/>
    </xf>
    <xf numFmtId="0" fontId="60" fillId="10" borderId="207" xfId="3" applyFont="1" applyFill="1" applyBorder="1" applyAlignment="1">
      <alignment horizontal="center" vertical="center"/>
    </xf>
    <xf numFmtId="0" fontId="30" fillId="0" borderId="37" xfId="3" applyFont="1" applyFill="1" applyBorder="1" applyAlignment="1">
      <alignment vertical="center"/>
    </xf>
    <xf numFmtId="0" fontId="30" fillId="0" borderId="38" xfId="3" applyFont="1" applyFill="1" applyBorder="1" applyAlignment="1">
      <alignment vertical="center"/>
    </xf>
    <xf numFmtId="0" fontId="43" fillId="0" borderId="56" xfId="3" applyFont="1" applyFill="1" applyBorder="1" applyAlignment="1">
      <alignment horizontal="center" vertical="center"/>
    </xf>
    <xf numFmtId="0" fontId="43" fillId="0" borderId="208" xfId="3" applyFont="1" applyFill="1" applyBorder="1" applyAlignment="1">
      <alignment horizontal="center" vertical="center"/>
    </xf>
    <xf numFmtId="0" fontId="43" fillId="0" borderId="186" xfId="3" applyFont="1" applyFill="1" applyBorder="1" applyAlignment="1">
      <alignment horizontal="center" vertical="center"/>
    </xf>
    <xf numFmtId="0" fontId="59" fillId="12" borderId="11" xfId="3" applyFont="1" applyFill="1" applyBorder="1" applyAlignment="1">
      <alignment horizontal="center" vertical="center"/>
    </xf>
    <xf numFmtId="0" fontId="59" fillId="12" borderId="47" xfId="3" applyFont="1" applyFill="1" applyBorder="1" applyAlignment="1">
      <alignment horizontal="center" vertical="center"/>
    </xf>
    <xf numFmtId="0" fontId="59" fillId="12" borderId="13" xfId="3" applyFont="1" applyFill="1" applyBorder="1" applyAlignment="1">
      <alignment horizontal="center" vertical="center"/>
    </xf>
    <xf numFmtId="0" fontId="54" fillId="0" borderId="10" xfId="3" applyFont="1" applyFill="1" applyBorder="1" applyAlignment="1">
      <alignment horizontal="center" vertical="center"/>
    </xf>
    <xf numFmtId="0" fontId="30" fillId="0" borderId="98" xfId="3" applyFont="1" applyFill="1" applyBorder="1" applyAlignment="1">
      <alignment horizontal="center" vertical="center"/>
    </xf>
    <xf numFmtId="0" fontId="0" fillId="0" borderId="209" xfId="0" applyBorder="1">
      <alignment vertical="center"/>
    </xf>
    <xf numFmtId="187" fontId="47" fillId="11" borderId="116" xfId="58" applyNumberFormat="1" applyFont="1">
      <alignment horizontal="center" vertical="center"/>
    </xf>
    <xf numFmtId="189" fontId="60" fillId="10" borderId="114" xfId="56" applyNumberFormat="1" applyFont="1" applyFill="1" applyBorder="1" applyAlignment="1">
      <alignment horizontal="center" vertical="center"/>
    </xf>
    <xf numFmtId="189" fontId="60" fillId="10" borderId="210" xfId="56" applyNumberFormat="1" applyFont="1" applyFill="1" applyBorder="1" applyAlignment="1">
      <alignment horizontal="center" vertical="center"/>
    </xf>
    <xf numFmtId="189" fontId="60" fillId="10" borderId="115" xfId="56" applyNumberFormat="1" applyFont="1" applyFill="1" applyBorder="1" applyAlignment="1">
      <alignment horizontal="center" vertical="center"/>
    </xf>
    <xf numFmtId="188" fontId="59" fillId="12" borderId="64" xfId="56" applyNumberFormat="1" applyFont="1" applyFill="1" applyBorder="1" applyAlignment="1">
      <alignment horizontal="center" vertical="center"/>
    </xf>
    <xf numFmtId="188" fontId="59" fillId="12" borderId="29" xfId="56" applyNumberFormat="1" applyFont="1" applyFill="1" applyBorder="1" applyAlignment="1">
      <alignment horizontal="center" vertical="center"/>
    </xf>
    <xf numFmtId="188" fontId="59" fillId="12" borderId="30" xfId="56" applyNumberFormat="1" applyFont="1" applyFill="1" applyBorder="1" applyAlignment="1">
      <alignment horizontal="center" vertical="center"/>
    </xf>
    <xf numFmtId="188" fontId="59" fillId="12" borderId="6" xfId="56" applyNumberFormat="1" applyFont="1" applyFill="1" applyBorder="1" applyAlignment="1">
      <alignment horizontal="center" vertical="center"/>
    </xf>
    <xf numFmtId="188" fontId="59" fillId="12" borderId="7" xfId="56" applyNumberFormat="1" applyFont="1" applyFill="1" applyBorder="1" applyAlignment="1">
      <alignment horizontal="center" vertical="center"/>
    </xf>
    <xf numFmtId="188" fontId="59" fillId="12" borderId="8" xfId="56" applyNumberFormat="1" applyFont="1" applyFill="1" applyBorder="1" applyAlignment="1">
      <alignment horizontal="center" vertical="center"/>
    </xf>
    <xf numFmtId="188" fontId="59" fillId="12" borderId="66" xfId="56" applyNumberFormat="1" applyFont="1" applyFill="1" applyBorder="1" applyAlignment="1">
      <alignment horizontal="center" vertical="center"/>
    </xf>
    <xf numFmtId="188" fontId="59" fillId="12" borderId="33" xfId="56" applyNumberFormat="1" applyFont="1" applyFill="1" applyBorder="1" applyAlignment="1">
      <alignment horizontal="center" vertical="center"/>
    </xf>
    <xf numFmtId="188" fontId="59" fillId="12" borderId="34" xfId="56" applyNumberFormat="1" applyFont="1" applyFill="1" applyBorder="1" applyAlignment="1">
      <alignment horizontal="center" vertical="center"/>
    </xf>
    <xf numFmtId="188" fontId="59" fillId="12" borderId="27" xfId="56" applyNumberFormat="1" applyFont="1" applyFill="1" applyBorder="1" applyAlignment="1">
      <alignment horizontal="center" vertical="center"/>
    </xf>
    <xf numFmtId="188" fontId="59" fillId="12" borderId="12" xfId="56" applyNumberFormat="1" applyFont="1" applyFill="1" applyBorder="1" applyAlignment="1">
      <alignment horizontal="center" vertical="center"/>
    </xf>
    <xf numFmtId="188" fontId="59" fillId="12" borderId="13" xfId="56" applyNumberFormat="1" applyFont="1" applyFill="1" applyBorder="1" applyAlignment="1">
      <alignment horizontal="center" vertical="center"/>
    </xf>
    <xf numFmtId="0" fontId="54" fillId="0" borderId="38" xfId="56" applyFont="1" applyFill="1" applyBorder="1" applyAlignment="1">
      <alignment horizontal="center" vertical="center"/>
    </xf>
    <xf numFmtId="0" fontId="55" fillId="0" borderId="11" xfId="56" applyNumberFormat="1" applyFont="1" applyFill="1" applyBorder="1" applyAlignment="1">
      <alignment horizontal="center" vertical="center"/>
    </xf>
    <xf numFmtId="0" fontId="55" fillId="0" borderId="12" xfId="56" applyNumberFormat="1" applyFont="1" applyFill="1" applyBorder="1" applyAlignment="1">
      <alignment horizontal="center" vertical="center"/>
    </xf>
    <xf numFmtId="0" fontId="55" fillId="0" borderId="13" xfId="56" applyNumberFormat="1" applyFont="1" applyFill="1" applyBorder="1" applyAlignment="1">
      <alignment horizontal="center" vertical="center"/>
    </xf>
    <xf numFmtId="0" fontId="58" fillId="0" borderId="37" xfId="56" applyFont="1" applyFill="1" applyBorder="1" applyAlignment="1">
      <alignment horizontal="center" vertical="center"/>
    </xf>
    <xf numFmtId="190" fontId="47" fillId="11" borderId="116" xfId="0" applyNumberFormat="1" applyFont="1" applyFill="1" applyBorder="1" applyAlignment="1">
      <alignment horizontal="center" vertical="center"/>
    </xf>
    <xf numFmtId="0" fontId="59" fillId="12" borderId="2" xfId="0" applyFont="1" applyFill="1" applyBorder="1" applyAlignment="1">
      <alignment horizontal="center" vertical="center"/>
    </xf>
    <xf numFmtId="0" fontId="59" fillId="12" borderId="3" xfId="0" applyFont="1" applyFill="1" applyBorder="1" applyAlignment="1">
      <alignment horizontal="center" vertical="center"/>
    </xf>
    <xf numFmtId="0" fontId="59" fillId="12" borderId="4" xfId="0" applyFont="1" applyFill="1" applyBorder="1" applyAlignment="1">
      <alignment horizontal="center" vertical="center"/>
    </xf>
    <xf numFmtId="189" fontId="59" fillId="12" borderId="25" xfId="0" applyNumberFormat="1" applyFont="1" applyFill="1" applyBorder="1" applyAlignment="1">
      <alignment horizontal="center" vertical="center"/>
    </xf>
    <xf numFmtId="0" fontId="59" fillId="12" borderId="6" xfId="0" applyFont="1" applyFill="1" applyBorder="1" applyAlignment="1">
      <alignment horizontal="center" vertical="center"/>
    </xf>
    <xf numFmtId="0" fontId="59" fillId="12" borderId="7" xfId="0" applyFont="1" applyFill="1" applyBorder="1" applyAlignment="1">
      <alignment horizontal="center" vertical="center"/>
    </xf>
    <xf numFmtId="0" fontId="59" fillId="12" borderId="8" xfId="0" applyFont="1" applyFill="1" applyBorder="1" applyAlignment="1">
      <alignment horizontal="center" vertical="center"/>
    </xf>
    <xf numFmtId="189" fontId="59" fillId="12" borderId="5" xfId="0" applyNumberFormat="1" applyFont="1" applyFill="1" applyBorder="1" applyAlignment="1">
      <alignment horizontal="center" vertical="center"/>
    </xf>
    <xf numFmtId="0" fontId="59" fillId="12" borderId="66" xfId="0" applyFont="1" applyFill="1" applyBorder="1" applyAlignment="1">
      <alignment horizontal="center" vertical="center"/>
    </xf>
    <xf numFmtId="0" fontId="59" fillId="12" borderId="33" xfId="0" applyFont="1" applyFill="1" applyBorder="1" applyAlignment="1">
      <alignment horizontal="center" vertical="center"/>
    </xf>
    <xf numFmtId="0" fontId="59" fillId="12" borderId="34" xfId="0" applyFont="1" applyFill="1" applyBorder="1" applyAlignment="1">
      <alignment horizontal="center" vertical="center"/>
    </xf>
    <xf numFmtId="189" fontId="59" fillId="12" borderId="9" xfId="0" applyNumberFormat="1" applyFont="1" applyFill="1" applyBorder="1" applyAlignment="1">
      <alignment horizontal="center" vertical="center"/>
    </xf>
    <xf numFmtId="0" fontId="62" fillId="0" borderId="118" xfId="0" applyFont="1" applyBorder="1" applyAlignment="1">
      <alignment horizontal="right" vertical="center"/>
    </xf>
    <xf numFmtId="0" fontId="63" fillId="0" borderId="1" xfId="0" applyFont="1" applyFill="1" applyBorder="1" applyAlignment="1">
      <alignment horizontal="center" vertical="center"/>
    </xf>
    <xf numFmtId="0" fontId="54" fillId="0" borderId="5" xfId="0" applyFont="1" applyFill="1" applyBorder="1" applyAlignment="1">
      <alignment horizontal="center" vertical="center"/>
    </xf>
    <xf numFmtId="0" fontId="54" fillId="0" borderId="26" xfId="0" applyFont="1" applyFill="1" applyBorder="1" applyAlignment="1">
      <alignment horizontal="center" vertical="center"/>
    </xf>
    <xf numFmtId="0" fontId="48" fillId="0" borderId="102" xfId="0" applyFont="1" applyBorder="1" applyAlignment="1">
      <alignment horizontal="center" vertical="center"/>
    </xf>
    <xf numFmtId="0" fontId="58" fillId="0" borderId="41" xfId="0" applyFont="1" applyBorder="1" applyAlignment="1">
      <alignment horizontal="center" vertical="center"/>
    </xf>
    <xf numFmtId="0" fontId="58" fillId="0" borderId="42" xfId="0" applyFont="1" applyBorder="1" applyAlignment="1">
      <alignment horizontal="center" vertical="center"/>
    </xf>
    <xf numFmtId="0" fontId="64" fillId="10" borderId="114" xfId="0" applyFont="1" applyFill="1" applyBorder="1" applyAlignment="1">
      <alignment horizontal="center" vertical="center"/>
    </xf>
    <xf numFmtId="0" fontId="64" fillId="10" borderId="115" xfId="0" applyFont="1" applyFill="1" applyBorder="1" applyAlignment="1">
      <alignment horizontal="center" vertical="center"/>
    </xf>
    <xf numFmtId="0" fontId="65" fillId="0" borderId="187" xfId="0" applyFont="1" applyFill="1" applyBorder="1" applyAlignment="1">
      <alignment horizontal="center" vertical="center"/>
    </xf>
    <xf numFmtId="0" fontId="65" fillId="0" borderId="19" xfId="0" applyFont="1" applyFill="1" applyBorder="1" applyAlignment="1">
      <alignment horizontal="center" vertical="center"/>
    </xf>
    <xf numFmtId="0" fontId="50" fillId="0" borderId="118" xfId="49" applyFont="1" applyFill="1" applyBorder="1" applyAlignment="1">
      <alignment horizontal="center" vertical="center"/>
    </xf>
    <xf numFmtId="0" fontId="57" fillId="0" borderId="102" xfId="53" applyFont="1" applyFill="1" applyBorder="1" applyAlignment="1">
      <alignment horizontal="center" vertical="center"/>
    </xf>
    <xf numFmtId="0" fontId="57" fillId="0" borderId="41" xfId="53" applyFont="1" applyFill="1" applyBorder="1" applyAlignment="1">
      <alignment horizontal="center" vertical="center"/>
    </xf>
    <xf numFmtId="0" fontId="57" fillId="0" borderId="42" xfId="53" applyFont="1" applyFill="1" applyBorder="1" applyAlignment="1">
      <alignment horizontal="center" vertical="center"/>
    </xf>
    <xf numFmtId="0" fontId="57" fillId="0" borderId="10" xfId="53" applyFont="1" applyFill="1" applyBorder="1" applyAlignment="1">
      <alignment horizontal="center" vertical="center"/>
    </xf>
    <xf numFmtId="0" fontId="57" fillId="0" borderId="56" xfId="53" applyFont="1" applyFill="1" applyBorder="1" applyAlignment="1">
      <alignment horizontal="center" vertical="center"/>
    </xf>
    <xf numFmtId="0" fontId="57" fillId="0" borderId="44" xfId="53" applyFont="1" applyFill="1" applyBorder="1" applyAlignment="1">
      <alignment horizontal="center" vertical="center"/>
    </xf>
    <xf numFmtId="0" fontId="57" fillId="0" borderId="50" xfId="53" applyFont="1" applyFill="1" applyBorder="1" applyAlignment="1">
      <alignment horizontal="center" vertical="center"/>
    </xf>
    <xf numFmtId="0" fontId="49" fillId="0" borderId="39" xfId="38" applyFont="1" applyFill="1" applyBorder="1" applyAlignment="1">
      <alignment horizontal="center" vertical="center"/>
    </xf>
    <xf numFmtId="181" fontId="58" fillId="0" borderId="75" xfId="38" applyNumberFormat="1" applyFont="1" applyFill="1" applyBorder="1" applyAlignment="1">
      <alignment horizontal="left" vertical="center"/>
    </xf>
    <xf numFmtId="181" fontId="58" fillId="0" borderId="76" xfId="38" applyNumberFormat="1" applyFont="1" applyFill="1" applyBorder="1" applyAlignment="1">
      <alignment horizontal="left" vertical="center"/>
    </xf>
    <xf numFmtId="181" fontId="58" fillId="0" borderId="77" xfId="51" applyNumberFormat="1" applyFont="1" applyFill="1" applyBorder="1" applyAlignment="1">
      <alignment horizontal="left" vertical="center" wrapText="1"/>
    </xf>
    <xf numFmtId="0" fontId="57" fillId="0" borderId="71" xfId="38" applyNumberFormat="1" applyFont="1" applyFill="1" applyBorder="1" applyAlignment="1">
      <alignment horizontal="center" vertical="center"/>
    </xf>
    <xf numFmtId="0" fontId="57" fillId="0" borderId="142" xfId="38" applyNumberFormat="1" applyFont="1" applyFill="1" applyBorder="1" applyAlignment="1">
      <alignment horizontal="center" vertical="center"/>
    </xf>
    <xf numFmtId="0" fontId="57" fillId="0" borderId="69" xfId="38" applyNumberFormat="1" applyFont="1" applyFill="1" applyBorder="1" applyAlignment="1">
      <alignment horizontal="center" vertical="center"/>
    </xf>
    <xf numFmtId="0" fontId="57" fillId="0" borderId="143" xfId="38" applyNumberFormat="1" applyFont="1" applyFill="1" applyBorder="1" applyAlignment="1">
      <alignment horizontal="center" vertical="center"/>
    </xf>
    <xf numFmtId="0" fontId="57" fillId="0" borderId="124" xfId="3" applyFont="1" applyFill="1" applyBorder="1" applyAlignment="1">
      <alignment horizontal="center" vertical="center"/>
    </xf>
    <xf numFmtId="0" fontId="49" fillId="0" borderId="99" xfId="3" applyFont="1" applyFill="1" applyBorder="1" applyAlignment="1">
      <alignment horizontal="center" vertical="center"/>
    </xf>
    <xf numFmtId="0" fontId="57" fillId="0" borderId="176" xfId="3" applyFont="1" applyFill="1" applyBorder="1" applyAlignment="1">
      <alignment horizontal="center" vertical="center"/>
    </xf>
    <xf numFmtId="0" fontId="57" fillId="0" borderId="14" xfId="3" applyFont="1" applyFill="1" applyBorder="1" applyAlignment="1">
      <alignment horizontal="center" vertical="center"/>
    </xf>
    <xf numFmtId="0" fontId="57" fillId="0" borderId="100" xfId="3" applyFont="1" applyFill="1" applyBorder="1" applyAlignment="1">
      <alignment horizontal="center" vertical="center"/>
    </xf>
    <xf numFmtId="0" fontId="57" fillId="0" borderId="25" xfId="3" applyFont="1" applyFill="1" applyBorder="1" applyAlignment="1">
      <alignment horizontal="center" vertical="center"/>
    </xf>
    <xf numFmtId="0" fontId="57" fillId="0" borderId="41" xfId="3" applyFont="1" applyFill="1" applyBorder="1" applyAlignment="1">
      <alignment horizontal="center" vertical="center"/>
    </xf>
    <xf numFmtId="0" fontId="57" fillId="0" borderId="5" xfId="3" applyFont="1" applyFill="1" applyBorder="1" applyAlignment="1">
      <alignment horizontal="center" vertical="center"/>
    </xf>
    <xf numFmtId="0" fontId="57" fillId="0" borderId="26" xfId="3" applyFont="1" applyFill="1" applyBorder="1" applyAlignment="1">
      <alignment horizontal="center" vertical="center"/>
    </xf>
    <xf numFmtId="178" fontId="30" fillId="0" borderId="25" xfId="3" applyNumberFormat="1" applyFont="1" applyFill="1" applyBorder="1" applyAlignment="1">
      <alignment horizontal="center" vertical="center"/>
    </xf>
    <xf numFmtId="178" fontId="30" fillId="0" borderId="5" xfId="3" applyNumberFormat="1" applyFont="1" applyFill="1" applyBorder="1" applyAlignment="1">
      <alignment horizontal="center" vertical="center"/>
    </xf>
    <xf numFmtId="178" fontId="30" fillId="0" borderId="26" xfId="3" applyNumberFormat="1" applyFont="1" applyFill="1" applyBorder="1" applyAlignment="1">
      <alignment horizontal="center" vertical="center"/>
    </xf>
    <xf numFmtId="0" fontId="49" fillId="0" borderId="10" xfId="3" applyFont="1" applyFill="1" applyBorder="1" applyAlignment="1">
      <alignment horizontal="center" vertical="center" wrapText="1"/>
    </xf>
    <xf numFmtId="0" fontId="60" fillId="10" borderId="211" xfId="0" applyFont="1" applyFill="1" applyBorder="1" applyAlignment="1">
      <alignment horizontal="center" vertical="center"/>
    </xf>
    <xf numFmtId="0" fontId="60" fillId="10" borderId="212" xfId="0" applyFont="1" applyFill="1" applyBorder="1" applyAlignment="1">
      <alignment horizontal="center" vertical="center"/>
    </xf>
    <xf numFmtId="0" fontId="60" fillId="10" borderId="213" xfId="0" applyFont="1" applyFill="1" applyBorder="1" applyAlignment="1">
      <alignment horizontal="center" vertical="center"/>
    </xf>
    <xf numFmtId="0" fontId="60" fillId="10" borderId="214" xfId="0" applyFont="1" applyFill="1" applyBorder="1" applyAlignment="1">
      <alignment horizontal="center" vertical="center"/>
    </xf>
    <xf numFmtId="0" fontId="60" fillId="10" borderId="215" xfId="0" applyFont="1" applyFill="1" applyBorder="1" applyAlignment="1">
      <alignment horizontal="center" vertical="center"/>
    </xf>
    <xf numFmtId="0" fontId="60" fillId="10" borderId="216" xfId="0" applyFont="1" applyFill="1" applyBorder="1" applyAlignment="1">
      <alignment horizontal="center" vertical="center"/>
    </xf>
    <xf numFmtId="0" fontId="60" fillId="10" borderId="217" xfId="0" applyFont="1" applyFill="1" applyBorder="1" applyAlignment="1">
      <alignment horizontal="center" vertical="center"/>
    </xf>
    <xf numFmtId="0" fontId="60" fillId="10" borderId="218" xfId="0" applyFont="1" applyFill="1" applyBorder="1" applyAlignment="1">
      <alignment horizontal="center" vertical="center"/>
    </xf>
    <xf numFmtId="0" fontId="60" fillId="10" borderId="219" xfId="0" applyFont="1" applyFill="1" applyBorder="1" applyAlignment="1">
      <alignment horizontal="center" vertical="center"/>
    </xf>
    <xf numFmtId="189" fontId="59" fillId="12" borderId="220" xfId="0" applyNumberFormat="1" applyFont="1" applyFill="1" applyBorder="1" applyAlignment="1">
      <alignment horizontal="center" vertical="center"/>
    </xf>
    <xf numFmtId="0" fontId="29" fillId="0" borderId="32" xfId="38" applyFont="1" applyFill="1" applyBorder="1" applyAlignment="1">
      <alignment horizontal="right" vertical="center"/>
    </xf>
    <xf numFmtId="0" fontId="29" fillId="0" borderId="34" xfId="38" applyFont="1" applyFill="1" applyBorder="1" applyAlignment="1">
      <alignment horizontal="right" vertical="center"/>
    </xf>
    <xf numFmtId="0" fontId="52" fillId="0" borderId="40" xfId="38" applyFont="1" applyFill="1" applyBorder="1" applyAlignment="1">
      <alignment horizontal="right" vertical="center"/>
    </xf>
    <xf numFmtId="0" fontId="53" fillId="0" borderId="53" xfId="38" applyFont="1" applyFill="1" applyBorder="1" applyAlignment="1">
      <alignment horizontal="right" vertical="center"/>
    </xf>
    <xf numFmtId="0" fontId="51" fillId="0" borderId="39" xfId="38" applyFont="1" applyFill="1" applyBorder="1" applyAlignment="1">
      <alignment horizontal="right" vertical="center"/>
    </xf>
    <xf numFmtId="0" fontId="51" fillId="0" borderId="117" xfId="38" applyFont="1" applyFill="1" applyBorder="1" applyAlignment="1">
      <alignment horizontal="right" vertical="center"/>
    </xf>
    <xf numFmtId="0" fontId="30" fillId="0" borderId="61" xfId="49" applyFont="1" applyFill="1" applyBorder="1" applyAlignment="1">
      <alignment horizontal="center" vertical="center"/>
    </xf>
    <xf numFmtId="0" fontId="30" fillId="0" borderId="62" xfId="49" applyFont="1" applyFill="1" applyBorder="1" applyAlignment="1">
      <alignment horizontal="center" vertical="center"/>
    </xf>
    <xf numFmtId="0" fontId="29" fillId="0" borderId="61" xfId="49" applyFont="1" applyFill="1" applyBorder="1" applyAlignment="1">
      <alignment horizontal="center" vertical="center"/>
    </xf>
    <xf numFmtId="0" fontId="29" fillId="0" borderId="91" xfId="49" applyFont="1" applyFill="1" applyBorder="1" applyAlignment="1">
      <alignment horizontal="center" vertical="center"/>
    </xf>
    <xf numFmtId="0" fontId="29" fillId="0" borderId="96" xfId="53" applyFont="1" applyFill="1" applyBorder="1" applyAlignment="1">
      <alignment horizontal="right" vertical="center"/>
    </xf>
    <xf numFmtId="0" fontId="30" fillId="0" borderId="97" xfId="53" applyFont="1" applyFill="1" applyBorder="1" applyAlignment="1">
      <alignment horizontal="right" vertical="center"/>
    </xf>
    <xf numFmtId="0" fontId="29" fillId="0" borderId="61" xfId="53" applyFont="1" applyFill="1" applyBorder="1" applyAlignment="1">
      <alignment horizontal="right" vertical="center"/>
    </xf>
    <xf numFmtId="0" fontId="30" fillId="0" borderId="62" xfId="53" applyFont="1" applyFill="1" applyBorder="1" applyAlignment="1">
      <alignment horizontal="right" vertical="center"/>
    </xf>
    <xf numFmtId="0" fontId="29" fillId="0" borderId="39" xfId="53" applyFont="1" applyFill="1" applyBorder="1" applyAlignment="1">
      <alignment horizontal="center" vertical="center"/>
    </xf>
    <xf numFmtId="0" fontId="29" fillId="0" borderId="20" xfId="53" applyFont="1" applyFill="1" applyBorder="1" applyAlignment="1">
      <alignment horizontal="center" vertical="center"/>
    </xf>
    <xf numFmtId="0" fontId="29" fillId="0" borderId="21" xfId="53" applyFont="1" applyFill="1" applyBorder="1" applyAlignment="1">
      <alignment horizontal="center" vertical="center"/>
    </xf>
    <xf numFmtId="0" fontId="29" fillId="0" borderId="46" xfId="53" applyFont="1" applyFill="1" applyBorder="1" applyAlignment="1">
      <alignment horizontal="right" vertical="center"/>
    </xf>
    <xf numFmtId="0" fontId="30" fillId="0" borderId="48" xfId="53" applyFont="1" applyFill="1" applyBorder="1" applyAlignment="1">
      <alignment horizontal="right" vertical="center"/>
    </xf>
    <xf numFmtId="0" fontId="54" fillId="0" borderId="61" xfId="53" applyFont="1" applyFill="1" applyBorder="1" applyAlignment="1">
      <alignment horizontal="right" vertical="center"/>
    </xf>
    <xf numFmtId="0" fontId="55" fillId="0" borderId="91" xfId="53" applyFont="1" applyFill="1" applyBorder="1" applyAlignment="1">
      <alignment horizontal="right" vertical="center"/>
    </xf>
    <xf numFmtId="0" fontId="40" fillId="0" borderId="78" xfId="38" applyFont="1" applyFill="1" applyBorder="1" applyAlignment="1">
      <alignment horizontal="center" vertical="center"/>
    </xf>
    <xf numFmtId="0" fontId="54" fillId="0" borderId="45" xfId="3" applyFont="1" applyFill="1" applyBorder="1" applyAlignment="1">
      <alignment horizontal="center" vertical="center" wrapText="1"/>
    </xf>
    <xf numFmtId="0" fontId="54" fillId="0" borderId="48" xfId="3" applyFont="1" applyFill="1" applyBorder="1" applyAlignment="1">
      <alignment horizontal="center" vertical="center" wrapText="1"/>
    </xf>
    <xf numFmtId="183" fontId="47" fillId="11" borderId="183" xfId="3" quotePrefix="1" applyNumberFormat="1" applyFont="1" applyFill="1" applyBorder="1" applyAlignment="1">
      <alignment horizontal="center" vertical="center"/>
    </xf>
    <xf numFmtId="183" fontId="47" fillId="11" borderId="184" xfId="3" quotePrefix="1" applyNumberFormat="1" applyFont="1" applyFill="1" applyBorder="1" applyAlignment="1">
      <alignment horizontal="center" vertical="center"/>
    </xf>
    <xf numFmtId="183" fontId="47" fillId="11" borderId="185" xfId="3" quotePrefix="1" applyNumberFormat="1" applyFont="1" applyFill="1" applyBorder="1" applyAlignment="1">
      <alignment horizontal="center" vertical="center"/>
    </xf>
    <xf numFmtId="0" fontId="40" fillId="0" borderId="0" xfId="3" applyFont="1" applyFill="1" applyBorder="1" applyAlignment="1">
      <alignment horizontal="center" vertical="center"/>
    </xf>
    <xf numFmtId="0" fontId="30" fillId="0" borderId="37" xfId="3" applyFont="1" applyFill="1" applyBorder="1" applyAlignment="1">
      <alignment horizontal="center" vertical="center"/>
    </xf>
    <xf numFmtId="0" fontId="30" fillId="0" borderId="38" xfId="3" applyFont="1" applyFill="1" applyBorder="1" applyAlignment="1">
      <alignment horizontal="center" vertical="center"/>
    </xf>
    <xf numFmtId="0" fontId="30" fillId="0" borderId="56" xfId="3" applyFont="1" applyFill="1" applyBorder="1" applyAlignment="1">
      <alignment horizontal="center" vertical="center"/>
    </xf>
    <xf numFmtId="0" fontId="30" fillId="0" borderId="90" xfId="3" applyFont="1" applyFill="1" applyBorder="1" applyAlignment="1">
      <alignment horizontal="center" vertical="center"/>
    </xf>
    <xf numFmtId="0" fontId="30" fillId="0" borderId="44" xfId="3" applyFont="1" applyFill="1" applyBorder="1" applyAlignment="1">
      <alignment horizontal="center" vertical="center"/>
    </xf>
    <xf numFmtId="0" fontId="30" fillId="0" borderId="47" xfId="3" applyFont="1" applyFill="1" applyBorder="1" applyAlignment="1">
      <alignment horizontal="center" vertical="center"/>
    </xf>
    <xf numFmtId="0" fontId="30" fillId="0" borderId="45" xfId="3" applyFont="1" applyFill="1" applyBorder="1" applyAlignment="1">
      <alignment horizontal="center" vertical="center"/>
    </xf>
    <xf numFmtId="0" fontId="30" fillId="0" borderId="48" xfId="3" applyFont="1" applyFill="1" applyBorder="1" applyAlignment="1">
      <alignment horizontal="center" vertical="center"/>
    </xf>
    <xf numFmtId="0" fontId="30" fillId="0" borderId="22" xfId="3" applyFont="1" applyFill="1" applyBorder="1" applyAlignment="1">
      <alignment horizontal="center" vertical="center"/>
    </xf>
    <xf numFmtId="0" fontId="30" fillId="0" borderId="206" xfId="3" applyFont="1" applyFill="1" applyBorder="1" applyAlignment="1">
      <alignment horizontal="center" vertical="center"/>
    </xf>
    <xf numFmtId="0" fontId="54" fillId="0" borderId="43" xfId="3" applyFont="1" applyFill="1" applyBorder="1" applyAlignment="1">
      <alignment horizontal="center" vertical="center" wrapText="1"/>
    </xf>
    <xf numFmtId="0" fontId="54" fillId="0" borderId="46" xfId="3" applyFont="1" applyFill="1" applyBorder="1" applyAlignment="1">
      <alignment horizontal="center" vertical="center" wrapText="1"/>
    </xf>
    <xf numFmtId="0" fontId="54" fillId="0" borderId="45" xfId="3" applyFont="1" applyFill="1" applyBorder="1" applyAlignment="1">
      <alignment horizontal="center" vertical="center"/>
    </xf>
    <xf numFmtId="0" fontId="54" fillId="0" borderId="48" xfId="3" applyFont="1" applyFill="1" applyBorder="1" applyAlignment="1">
      <alignment horizontal="center" vertical="center"/>
    </xf>
    <xf numFmtId="0" fontId="30" fillId="0" borderId="11" xfId="3" applyFont="1" applyFill="1" applyBorder="1" applyAlignment="1">
      <alignment horizontal="center" vertical="center"/>
    </xf>
    <xf numFmtId="0" fontId="30" fillId="0" borderId="12" xfId="3" applyFont="1" applyFill="1" applyBorder="1" applyAlignment="1">
      <alignment horizontal="center" vertical="center"/>
    </xf>
    <xf numFmtId="0" fontId="30" fillId="0" borderId="13" xfId="3" applyFont="1" applyFill="1" applyBorder="1" applyAlignment="1">
      <alignment horizontal="center" vertical="center"/>
    </xf>
    <xf numFmtId="0" fontId="29" fillId="0" borderId="37" xfId="3" applyFont="1" applyFill="1" applyBorder="1" applyAlignment="1">
      <alignment horizontal="center" vertical="center" wrapText="1"/>
    </xf>
    <xf numFmtId="0" fontId="30" fillId="0" borderId="38" xfId="3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</cellXfs>
  <cellStyles count="60">
    <cellStyle name="Background" xfId="15"/>
    <cellStyle name="Comma [0]" xfId="16"/>
    <cellStyle name="Comma_About" xfId="17"/>
    <cellStyle name="Currency [0]" xfId="18"/>
    <cellStyle name="Currency_About" xfId="19"/>
    <cellStyle name="Date" xfId="20"/>
    <cellStyle name="Fixed" xfId="21"/>
    <cellStyle name="Heading 1" xfId="22"/>
    <cellStyle name="Heading 2" xfId="23"/>
    <cellStyle name="Named.Cell" xfId="24"/>
    <cellStyle name="Normal_About" xfId="25"/>
    <cellStyle name="Normal_Sheet1" xfId="51"/>
    <cellStyle name="Not.In.Spec" xfId="26"/>
    <cellStyle name="Percent_APP" xfId="27"/>
    <cellStyle name="Run.Me" xfId="28"/>
    <cellStyle name="Sec.Major" xfId="29"/>
    <cellStyle name="Sec.Minor" xfId="30"/>
    <cellStyle name="Table.Heading" xfId="31"/>
    <cellStyle name="Total" xfId="32"/>
    <cellStyle name="一般" xfId="0" builtinId="0"/>
    <cellStyle name="一般 10" xfId="33"/>
    <cellStyle name="一般 11" xfId="14"/>
    <cellStyle name="一般 11 2" xfId="34"/>
    <cellStyle name="一般 11 3" xfId="35"/>
    <cellStyle name="一般 12" xfId="36"/>
    <cellStyle name="一般 13" xfId="37"/>
    <cellStyle name="一般 14" xfId="50"/>
    <cellStyle name="一般 15" xfId="52"/>
    <cellStyle name="一般 16" xfId="55"/>
    <cellStyle name="一般 2" xfId="1"/>
    <cellStyle name="一般 2 2" xfId="56"/>
    <cellStyle name="一般 3" xfId="2"/>
    <cellStyle name="一般 3 2" xfId="53"/>
    <cellStyle name="一般 4" xfId="3"/>
    <cellStyle name="一般 5" xfId="4"/>
    <cellStyle name="一般 6" xfId="5"/>
    <cellStyle name="一般 7" xfId="6"/>
    <cellStyle name="一般 7 2" xfId="7"/>
    <cellStyle name="一般 8" xfId="8"/>
    <cellStyle name="一般 9" xfId="38"/>
    <cellStyle name="一般_SAMPLE20" xfId="49"/>
    <cellStyle name="千分位 2" xfId="9"/>
    <cellStyle name="千分位 3" xfId="10"/>
    <cellStyle name="千分位 4" xfId="11"/>
    <cellStyle name="千分位 4 2" xfId="39"/>
    <cellStyle name="千分位 5" xfId="40"/>
    <cellStyle name="千分位 6" xfId="41"/>
    <cellStyle name="千分位 7" xfId="42"/>
    <cellStyle name="千分位[0] 2" xfId="43"/>
    <cellStyle name="目標樣式" xfId="58"/>
    <cellStyle name="百分比 2" xfId="12"/>
    <cellStyle name="百分比 2 2" xfId="44"/>
    <cellStyle name="百分比 3" xfId="45"/>
    <cellStyle name="百分比 4" xfId="54"/>
    <cellStyle name="黑底白字標題列" xfId="46"/>
    <cellStyle name="黑底白字標題列 2" xfId="47"/>
    <cellStyle name="黑底白字標題列 3" xfId="48"/>
    <cellStyle name="樣式 1" xfId="59"/>
    <cellStyle name="隨後的超連結" xfId="13"/>
    <cellStyle name="變數樣式" xfId="57"/>
  </cellStyles>
  <dxfs count="0"/>
  <tableStyles count="0" defaultTableStyle="TableStyleMedium2" defaultPivotStyle="PivotStyleLight16"/>
  <colors>
    <mruColors>
      <color rgb="FF0000FF"/>
      <color rgb="FF008000"/>
      <color rgb="FFCCFFCC"/>
      <color rgb="FFFFCCFF"/>
      <color rgb="FF0000CC"/>
      <color rgb="FF333300"/>
      <color rgb="FF006600"/>
      <color rgb="FF003300"/>
      <color rgb="FFFF9900"/>
      <color rgb="FFE5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182880</xdr:rowOff>
    </xdr:from>
    <xdr:ext cx="1463040" cy="2912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文字方塊 2"/>
            <xdr:cNvSpPr txBox="1"/>
          </xdr:nvSpPr>
          <xdr:spPr>
            <a:xfrm>
              <a:off x="205740" y="182880"/>
              <a:ext cx="1463040" cy="29123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p>
                      <m:sSupPr>
                        <m:ctrlPr>
                          <a:rPr lang="en-US" altLang="zh-TW" sz="1100" b="1" i="1">
                            <a:solidFill>
                              <a:srgbClr val="0000FF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zh-TW" sz="1100" b="1" i="1">
                            <a:solidFill>
                              <a:srgbClr val="0000FF"/>
                            </a:solidFill>
                            <a:latin typeface="Cambria Math"/>
                          </a:rPr>
                          <m:t>𝒙</m:t>
                        </m:r>
                      </m:e>
                      <m:sup>
                        <m:r>
                          <a:rPr lang="en-US" altLang="zh-TW" sz="1100" b="1" i="1">
                            <a:solidFill>
                              <a:srgbClr val="0000FF"/>
                            </a:solidFill>
                            <a:latin typeface="Cambria Math"/>
                          </a:rPr>
                          <m:t>𝟐</m:t>
                        </m:r>
                      </m:sup>
                    </m:sSup>
                    <m:r>
                      <a:rPr lang="en-US" altLang="zh-TW" sz="1100" b="1" i="1">
                        <a:solidFill>
                          <a:srgbClr val="0000FF"/>
                        </a:solidFill>
                        <a:latin typeface="Cambria Math"/>
                      </a:rPr>
                      <m:t>+</m:t>
                    </m:r>
                    <m:r>
                      <a:rPr lang="en-US" altLang="zh-TW" sz="1100" b="1" i="1">
                        <a:solidFill>
                          <a:srgbClr val="0000FF"/>
                        </a:solidFill>
                        <a:latin typeface="Cambria Math"/>
                      </a:rPr>
                      <m:t>𝟐</m:t>
                    </m:r>
                    <m:r>
                      <a:rPr lang="en-US" altLang="zh-TW" sz="1100" b="1" i="1">
                        <a:solidFill>
                          <a:srgbClr val="0000FF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𝒙𝒚</m:t>
                    </m:r>
                    <m:r>
                      <a:rPr lang="en-US" altLang="zh-TW" sz="1100" b="1" i="1">
                        <a:solidFill>
                          <a:srgbClr val="0000FF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+</m:t>
                    </m:r>
                    <m:r>
                      <a:rPr lang="en-US" altLang="zh-TW" sz="1100" b="1" i="1">
                        <a:solidFill>
                          <a:srgbClr val="0000FF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𝟑</m:t>
                    </m:r>
                    <m:sSup>
                      <m:sSupPr>
                        <m:ctrlPr>
                          <a:rPr lang="en-US" altLang="zh-TW" sz="1100" b="1" i="1">
                            <a:solidFill>
                              <a:srgbClr val="0000FF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altLang="zh-TW" sz="1100" b="1" i="1">
                            <a:solidFill>
                              <a:srgbClr val="0000FF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𝒚</m:t>
                        </m:r>
                      </m:e>
                      <m:sup>
                        <m:r>
                          <a:rPr lang="en-US" altLang="zh-TW" sz="1100" b="1" i="1">
                            <a:solidFill>
                              <a:srgbClr val="0000FF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𝟐</m:t>
                        </m:r>
                      </m:sup>
                    </m:sSup>
                    <m:r>
                      <a:rPr lang="en-US" altLang="zh-TW" sz="1100" b="1" i="1">
                        <a:solidFill>
                          <a:srgbClr val="0000FF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a:rPr lang="en-US" altLang="zh-TW" sz="1100" b="1" i="1">
                        <a:solidFill>
                          <a:srgbClr val="0000FF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𝟒</m:t>
                    </m:r>
                  </m:oMath>
                </m:oMathPara>
              </a14:m>
              <a:endParaRPr lang="zh-TW" altLang="en-US" sz="1100" b="1" i="1">
                <a:solidFill>
                  <a:srgbClr val="0000FF"/>
                </a:solidFill>
                <a:latin typeface="Arial Black" pitchFamily="34" charset="0"/>
              </a:endParaRPr>
            </a:p>
          </xdr:txBody>
        </xdr:sp>
      </mc:Choice>
      <mc:Fallback xmlns="">
        <xdr:sp macro="" textlink="">
          <xdr:nvSpPr>
            <xdr:cNvPr id="3" name="文字方塊 2"/>
            <xdr:cNvSpPr txBox="1"/>
          </xdr:nvSpPr>
          <xdr:spPr>
            <a:xfrm>
              <a:off x="205740" y="182880"/>
              <a:ext cx="1463040" cy="29123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zh-TW" sz="1100" b="1" i="0">
                  <a:solidFill>
                    <a:srgbClr val="0000FF"/>
                  </a:solidFill>
                  <a:latin typeface="Cambria Math"/>
                </a:rPr>
                <a:t>𝒙^𝟐+𝟐</a:t>
              </a:r>
              <a:r>
                <a:rPr lang="en-US" altLang="zh-TW" sz="1100" b="1" i="0">
                  <a:solidFill>
                    <a:srgbClr val="0000FF"/>
                  </a:solidFill>
                  <a:effectLst/>
                  <a:latin typeface="Cambria Math"/>
                  <a:ea typeface="+mn-ea"/>
                  <a:cs typeface="+mn-cs"/>
                </a:rPr>
                <a:t>𝒙𝒚+𝟑𝒚^𝟐=𝟒</a:t>
              </a:r>
              <a:endParaRPr lang="zh-TW" altLang="en-US" sz="1100" b="1" i="1">
                <a:solidFill>
                  <a:srgbClr val="0000FF"/>
                </a:solidFill>
                <a:latin typeface="Arial Black" pitchFamily="34" charset="0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281942</xdr:colOff>
      <xdr:row>1</xdr:row>
      <xdr:rowOff>30480</xdr:rowOff>
    </xdr:from>
    <xdr:to>
      <xdr:col>1</xdr:col>
      <xdr:colOff>720095</xdr:colOff>
      <xdr:row>1</xdr:row>
      <xdr:rowOff>606480</xdr:rowOff>
    </xdr:to>
    <xdr:pic>
      <xdr:nvPicPr>
        <xdr:cNvPr id="10" name="圖片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7682" y="220980"/>
          <a:ext cx="438153" cy="57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304801</xdr:colOff>
      <xdr:row>2</xdr:row>
      <xdr:rowOff>22860</xdr:rowOff>
    </xdr:from>
    <xdr:to>
      <xdr:col>1</xdr:col>
      <xdr:colOff>691145</xdr:colOff>
      <xdr:row>2</xdr:row>
      <xdr:rowOff>598860</xdr:rowOff>
    </xdr:to>
    <xdr:pic>
      <xdr:nvPicPr>
        <xdr:cNvPr id="12" name="圖片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0541" y="868680"/>
          <a:ext cx="386344" cy="57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68582</xdr:colOff>
      <xdr:row>3</xdr:row>
      <xdr:rowOff>106680</xdr:rowOff>
    </xdr:from>
    <xdr:to>
      <xdr:col>1</xdr:col>
      <xdr:colOff>912125</xdr:colOff>
      <xdr:row>3</xdr:row>
      <xdr:rowOff>525780</xdr:rowOff>
    </xdr:to>
    <xdr:grpSp>
      <xdr:nvGrpSpPr>
        <xdr:cNvPr id="15" name="群組 14"/>
        <xdr:cNvGrpSpPr/>
      </xdr:nvGrpSpPr>
      <xdr:grpSpPr>
        <a:xfrm>
          <a:off x="278132" y="1554480"/>
          <a:ext cx="843543" cy="419100"/>
          <a:chOff x="3482342" y="2118360"/>
          <a:chExt cx="843543" cy="419100"/>
        </a:xfrm>
      </xdr:grpSpPr>
      <xdr:pic>
        <xdr:nvPicPr>
          <xdr:cNvPr id="13" name="圖片 12"/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t="1" b="29885"/>
          <a:stretch/>
        </xdr:blipFill>
        <xdr:spPr>
          <a:xfrm>
            <a:off x="3482342" y="2118360"/>
            <a:ext cx="438153" cy="403860"/>
          </a:xfrm>
          <a:prstGeom prst="rect">
            <a:avLst/>
          </a:prstGeom>
        </xdr:spPr>
      </xdr:pic>
      <xdr:pic>
        <xdr:nvPicPr>
          <xdr:cNvPr id="14" name="圖片 13"/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27240"/>
          <a:stretch/>
        </xdr:blipFill>
        <xdr:spPr>
          <a:xfrm>
            <a:off x="3939541" y="2118360"/>
            <a:ext cx="386344" cy="4191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68582</xdr:colOff>
      <xdr:row>4</xdr:row>
      <xdr:rowOff>236220</xdr:rowOff>
    </xdr:from>
    <xdr:to>
      <xdr:col>1</xdr:col>
      <xdr:colOff>912125</xdr:colOff>
      <xdr:row>4</xdr:row>
      <xdr:rowOff>408360</xdr:rowOff>
    </xdr:to>
    <xdr:grpSp>
      <xdr:nvGrpSpPr>
        <xdr:cNvPr id="18" name="群組 17"/>
        <xdr:cNvGrpSpPr/>
      </xdr:nvGrpSpPr>
      <xdr:grpSpPr>
        <a:xfrm>
          <a:off x="278132" y="2312670"/>
          <a:ext cx="843543" cy="172140"/>
          <a:chOff x="2887982" y="2545080"/>
          <a:chExt cx="843543" cy="172140"/>
        </a:xfrm>
      </xdr:grpSpPr>
      <xdr:pic>
        <xdr:nvPicPr>
          <xdr:cNvPr id="16" name="圖片 15"/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t="70115"/>
          <a:stretch/>
        </xdr:blipFill>
        <xdr:spPr>
          <a:xfrm>
            <a:off x="2887982" y="2545080"/>
            <a:ext cx="438153" cy="172140"/>
          </a:xfrm>
          <a:prstGeom prst="rect">
            <a:avLst/>
          </a:prstGeom>
        </xdr:spPr>
      </xdr:pic>
      <xdr:pic>
        <xdr:nvPicPr>
          <xdr:cNvPr id="17" name="圖片 16"/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t="72760"/>
          <a:stretch/>
        </xdr:blipFill>
        <xdr:spPr>
          <a:xfrm>
            <a:off x="3345181" y="2560320"/>
            <a:ext cx="386344" cy="1569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28575</xdr:rowOff>
        </xdr:from>
        <xdr:to>
          <xdr:col>1</xdr:col>
          <xdr:colOff>552450</xdr:colOff>
          <xdr:row>0</xdr:row>
          <xdr:rowOff>266700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28575</xdr:rowOff>
        </xdr:from>
        <xdr:to>
          <xdr:col>2</xdr:col>
          <xdr:colOff>38100</xdr:colOff>
          <xdr:row>0</xdr:row>
          <xdr:rowOff>266700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28575</xdr:rowOff>
        </xdr:from>
        <xdr:to>
          <xdr:col>1</xdr:col>
          <xdr:colOff>552450</xdr:colOff>
          <xdr:row>0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28575</xdr:rowOff>
        </xdr:from>
        <xdr:to>
          <xdr:col>1</xdr:col>
          <xdr:colOff>552450</xdr:colOff>
          <xdr:row>0</xdr:row>
          <xdr:rowOff>266700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28575</xdr:rowOff>
        </xdr:from>
        <xdr:to>
          <xdr:col>1</xdr:col>
          <xdr:colOff>552450</xdr:colOff>
          <xdr:row>0</xdr:row>
          <xdr:rowOff>266700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28575</xdr:rowOff>
        </xdr:from>
        <xdr:to>
          <xdr:col>1</xdr:col>
          <xdr:colOff>552450</xdr:colOff>
          <xdr:row>0</xdr:row>
          <xdr:rowOff>266700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28575</xdr:rowOff>
        </xdr:from>
        <xdr:to>
          <xdr:col>1</xdr:col>
          <xdr:colOff>552450</xdr:colOff>
          <xdr:row>0</xdr:row>
          <xdr:rowOff>266700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28575</xdr:rowOff>
        </xdr:from>
        <xdr:to>
          <xdr:col>1</xdr:col>
          <xdr:colOff>552450</xdr:colOff>
          <xdr:row>0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28575</xdr:rowOff>
        </xdr:from>
        <xdr:to>
          <xdr:col>1</xdr:col>
          <xdr:colOff>552450</xdr:colOff>
          <xdr:row>0</xdr:row>
          <xdr:rowOff>266700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1:D5"/>
  <sheetViews>
    <sheetView zoomScaleNormal="100" workbookViewId="0">
      <selection activeCell="C4" sqref="C4"/>
    </sheetView>
  </sheetViews>
  <sheetFormatPr defaultRowHeight="16.5"/>
  <cols>
    <col min="1" max="1" width="2.75" customWidth="1"/>
    <col min="2" max="4" width="13.75" customWidth="1"/>
    <col min="5" max="5" width="2.75" customWidth="1"/>
  </cols>
  <sheetData>
    <row r="1" spans="2:4" ht="15" customHeight="1"/>
    <row r="2" spans="2:4" ht="22.9" customHeight="1" thickBot="1"/>
    <row r="3" spans="2:4" s="1" customFormat="1" ht="24" customHeight="1" thickBot="1">
      <c r="B3" s="87" t="s">
        <v>33</v>
      </c>
      <c r="C3" s="88" t="s">
        <v>34</v>
      </c>
      <c r="D3" s="89" t="s">
        <v>35</v>
      </c>
    </row>
    <row r="4" spans="2:4" ht="24" customHeight="1" thickTop="1" thickBot="1">
      <c r="B4" s="183">
        <v>1</v>
      </c>
      <c r="C4" s="184">
        <v>0.72075922005612647</v>
      </c>
      <c r="D4" s="185">
        <f>B4^2+2*B4*C4+3*C4^2</f>
        <v>4</v>
      </c>
    </row>
    <row r="5" spans="2:4" ht="15" customHeight="1" thickTop="1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C1:E6"/>
  <sheetViews>
    <sheetView workbookViewId="0">
      <selection activeCell="E3" sqref="E3"/>
    </sheetView>
  </sheetViews>
  <sheetFormatPr defaultRowHeight="16.5"/>
  <cols>
    <col min="1" max="1" width="2.75" customWidth="1"/>
    <col min="2" max="2" width="12.75" customWidth="1"/>
    <col min="3" max="3" width="10.75" customWidth="1"/>
    <col min="4" max="4" width="2.75" customWidth="1"/>
    <col min="5" max="5" width="10.75" customWidth="1"/>
    <col min="6" max="6" width="2.75" customWidth="1"/>
  </cols>
  <sheetData>
    <row r="1" spans="3:5" ht="15" customHeight="1" thickBot="1"/>
    <row r="2" spans="3:5" ht="49.9" customHeight="1" thickTop="1">
      <c r="C2" s="398">
        <v>14</v>
      </c>
      <c r="E2" s="398">
        <v>14</v>
      </c>
    </row>
    <row r="3" spans="3:5" ht="49.9" customHeight="1" thickBot="1">
      <c r="C3" s="399">
        <v>18</v>
      </c>
      <c r="E3" s="399">
        <v>18</v>
      </c>
    </row>
    <row r="4" spans="3:5" ht="49.9" customHeight="1" thickTop="1" thickBot="1">
      <c r="C4" s="401">
        <f>C2+C3</f>
        <v>32</v>
      </c>
      <c r="E4" s="90">
        <f>E2+E3</f>
        <v>32</v>
      </c>
    </row>
    <row r="5" spans="3:5" ht="49.9" customHeight="1" thickTop="1" thickBot="1">
      <c r="C5" s="90">
        <f>2*C2+4*C3</f>
        <v>100</v>
      </c>
      <c r="E5" s="400">
        <f>2*E2+4*E3</f>
        <v>100</v>
      </c>
    </row>
    <row r="6" spans="3:5" ht="15" customHeight="1" thickTop="1"/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B1:H9"/>
  <sheetViews>
    <sheetView showZeros="0" zoomScaleNormal="100" workbookViewId="0">
      <selection activeCell="E5" sqref="E5"/>
    </sheetView>
  </sheetViews>
  <sheetFormatPr defaultColWidth="8.125" defaultRowHeight="17.25"/>
  <cols>
    <col min="1" max="1" width="2.75" style="10" customWidth="1"/>
    <col min="2" max="2" width="9.75" style="10" customWidth="1"/>
    <col min="3" max="3" width="10.25" style="10" customWidth="1"/>
    <col min="4" max="7" width="13.75" style="10" customWidth="1"/>
    <col min="8" max="8" width="2.75" style="10" customWidth="1"/>
    <col min="9" max="16384" width="8.125" style="10"/>
  </cols>
  <sheetData>
    <row r="1" spans="2:8" ht="24" customHeight="1" thickBot="1"/>
    <row r="2" spans="2:8" ht="19.899999999999999" customHeight="1" thickTop="1" thickBot="1">
      <c r="B2" s="445" t="s">
        <v>36</v>
      </c>
      <c r="C2" s="446"/>
      <c r="D2" s="186">
        <f>SUMPRODUCT(C5:C6,G5:G6)</f>
        <v>17200000</v>
      </c>
    </row>
    <row r="3" spans="2:8" ht="15" customHeight="1" thickBot="1"/>
    <row r="4" spans="2:8" ht="19.899999999999999" customHeight="1" thickBot="1">
      <c r="B4" s="13" t="s">
        <v>37</v>
      </c>
      <c r="C4" s="146" t="s">
        <v>38</v>
      </c>
      <c r="D4" s="15" t="s">
        <v>39</v>
      </c>
      <c r="E4" s="14" t="s">
        <v>40</v>
      </c>
      <c r="F4" s="16" t="s">
        <v>123</v>
      </c>
      <c r="G4" s="170" t="s">
        <v>149</v>
      </c>
      <c r="H4" s="135"/>
    </row>
    <row r="5" spans="2:8" ht="19.899999999999999" customHeight="1" thickTop="1">
      <c r="B5" s="91" t="s">
        <v>41</v>
      </c>
      <c r="C5" s="147">
        <v>1600</v>
      </c>
      <c r="D5" s="144">
        <v>2</v>
      </c>
      <c r="E5" s="17">
        <v>1</v>
      </c>
      <c r="F5" s="149">
        <v>7500</v>
      </c>
      <c r="G5" s="187">
        <v>7500</v>
      </c>
      <c r="H5" s="135"/>
    </row>
    <row r="6" spans="2:8" ht="19.899999999999999" customHeight="1" thickBot="1">
      <c r="B6" s="92" t="s">
        <v>42</v>
      </c>
      <c r="C6" s="148">
        <v>800</v>
      </c>
      <c r="D6" s="145">
        <v>3</v>
      </c>
      <c r="E6" s="18">
        <v>2</v>
      </c>
      <c r="F6" s="150">
        <v>6500</v>
      </c>
      <c r="G6" s="188">
        <v>6500</v>
      </c>
      <c r="H6" s="135"/>
    </row>
    <row r="7" spans="2:8" ht="19.899999999999999" customHeight="1">
      <c r="B7" s="443" t="s">
        <v>148</v>
      </c>
      <c r="C7" s="444"/>
      <c r="D7" s="171">
        <f t="shared" ref="D7:E7" si="0">SUMPRODUCT(D5:D6,$G$5:$G$6)</f>
        <v>34500</v>
      </c>
      <c r="E7" s="172">
        <f t="shared" si="0"/>
        <v>20500</v>
      </c>
      <c r="F7" s="11"/>
    </row>
    <row r="8" spans="2:8" ht="19.899999999999999" customHeight="1" thickBot="1">
      <c r="B8" s="441" t="s">
        <v>43</v>
      </c>
      <c r="C8" s="442"/>
      <c r="D8" s="20">
        <v>35200</v>
      </c>
      <c r="E8" s="19">
        <v>20400</v>
      </c>
      <c r="F8" s="12"/>
      <c r="G8" s="12"/>
    </row>
    <row r="9" spans="2:8" ht="15" customHeight="1">
      <c r="B9" s="136"/>
      <c r="C9" s="136"/>
      <c r="D9" s="136"/>
      <c r="E9" s="136"/>
    </row>
  </sheetData>
  <mergeCells count="3">
    <mergeCell ref="B8:C8"/>
    <mergeCell ref="B7:C7"/>
    <mergeCell ref="B2:C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1</xdr:col>
                    <xdr:colOff>552450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E7"/>
  <sheetViews>
    <sheetView workbookViewId="0">
      <selection activeCell="I7" sqref="I7"/>
    </sheetView>
  </sheetViews>
  <sheetFormatPr defaultRowHeight="16.5"/>
  <cols>
    <col min="1" max="1" width="2.75" customWidth="1"/>
    <col min="2" max="5" width="6.75" customWidth="1"/>
    <col min="6" max="6" width="2.75" customWidth="1"/>
  </cols>
  <sheetData>
    <row r="1" spans="2:5" ht="24" customHeight="1" thickBot="1"/>
    <row r="2" spans="2:5" ht="30" customHeight="1" thickBot="1">
      <c r="B2" s="440">
        <f>SUM(B3,C4,D5)</f>
        <v>15</v>
      </c>
      <c r="D2" s="440">
        <f>SUM(D3,C4,B5)</f>
        <v>15</v>
      </c>
    </row>
    <row r="3" spans="2:5" ht="30" customHeight="1" thickTop="1">
      <c r="B3" s="189">
        <v>4</v>
      </c>
      <c r="C3" s="190">
        <v>3</v>
      </c>
      <c r="D3" s="191">
        <v>8</v>
      </c>
      <c r="E3" s="173">
        <f>SUM(B3:D3)</f>
        <v>15</v>
      </c>
    </row>
    <row r="4" spans="2:5" ht="30" customHeight="1">
      <c r="B4" s="192">
        <v>9</v>
      </c>
      <c r="C4" s="193">
        <v>5</v>
      </c>
      <c r="D4" s="194">
        <v>1</v>
      </c>
      <c r="E4" s="174">
        <f>SUM(B4:D4)</f>
        <v>15</v>
      </c>
    </row>
    <row r="5" spans="2:5" ht="30" customHeight="1" thickBot="1">
      <c r="B5" s="195">
        <v>2</v>
      </c>
      <c r="C5" s="196">
        <v>7</v>
      </c>
      <c r="D5" s="197">
        <v>6</v>
      </c>
      <c r="E5" s="175">
        <f>SUM(B5:D5)</f>
        <v>15</v>
      </c>
    </row>
    <row r="6" spans="2:5" ht="30" customHeight="1" thickTop="1" thickBot="1">
      <c r="B6" s="176">
        <f>SUM(B3:B5)</f>
        <v>15</v>
      </c>
      <c r="C6" s="177">
        <f>SUM(C3:C5)</f>
        <v>15</v>
      </c>
      <c r="D6" s="178">
        <f>SUM(D3:D5)</f>
        <v>15</v>
      </c>
      <c r="E6" s="158">
        <f>SUM(B6:D6)</f>
        <v>45</v>
      </c>
    </row>
    <row r="7" spans="2:5" ht="15" customHeight="1"/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2</xdr:col>
                    <xdr:colOff>38100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B1:J33"/>
  <sheetViews>
    <sheetView showZeros="0" workbookViewId="0">
      <selection activeCell="I9" sqref="I9"/>
    </sheetView>
  </sheetViews>
  <sheetFormatPr defaultColWidth="7.25" defaultRowHeight="15"/>
  <cols>
    <col min="1" max="1" width="2.75" style="3" customWidth="1"/>
    <col min="2" max="2" width="17.375" style="3" bestFit="1" customWidth="1"/>
    <col min="3" max="7" width="10.75" style="3" customWidth="1"/>
    <col min="8" max="9" width="13.625" style="3" customWidth="1"/>
    <col min="10" max="10" width="2.75" style="3" customWidth="1"/>
    <col min="11" max="16384" width="7.25" style="3"/>
  </cols>
  <sheetData>
    <row r="1" spans="2:10" ht="24" customHeight="1" thickBot="1"/>
    <row r="2" spans="2:10" ht="19.899999999999999" customHeight="1" thickTop="1" thickBot="1">
      <c r="B2" s="402" t="s">
        <v>191</v>
      </c>
      <c r="C2" s="182">
        <f>SUMPRODUCT(C13:G13,C12:G12)</f>
        <v>12360</v>
      </c>
    </row>
    <row r="3" spans="2:10" ht="15" customHeight="1" thickBot="1">
      <c r="B3" s="2"/>
      <c r="C3" s="2"/>
      <c r="D3" s="2"/>
      <c r="E3" s="2"/>
      <c r="F3" s="2"/>
      <c r="G3" s="2"/>
      <c r="H3" s="2"/>
      <c r="I3" s="2"/>
    </row>
    <row r="4" spans="2:10" ht="19.899999999999999" customHeight="1">
      <c r="B4" s="4"/>
      <c r="C4" s="447" t="s">
        <v>44</v>
      </c>
      <c r="D4" s="448"/>
      <c r="E4" s="448"/>
      <c r="F4" s="448"/>
      <c r="G4" s="448"/>
      <c r="H4" s="449" t="s">
        <v>45</v>
      </c>
      <c r="I4" s="450"/>
      <c r="J4" s="134"/>
    </row>
    <row r="5" spans="2:10" ht="19.899999999999999" customHeight="1" thickBot="1">
      <c r="B5" s="93" t="s">
        <v>46</v>
      </c>
      <c r="C5" s="94" t="s">
        <v>47</v>
      </c>
      <c r="D5" s="95" t="s">
        <v>48</v>
      </c>
      <c r="E5" s="95" t="s">
        <v>49</v>
      </c>
      <c r="F5" s="95" t="s">
        <v>50</v>
      </c>
      <c r="G5" s="5" t="s">
        <v>51</v>
      </c>
      <c r="H5" s="96" t="s">
        <v>52</v>
      </c>
      <c r="I5" s="201" t="s">
        <v>150</v>
      </c>
      <c r="J5" s="134"/>
    </row>
    <row r="6" spans="2:10" ht="19.899999999999999" customHeight="1">
      <c r="B6" s="97" t="s">
        <v>53</v>
      </c>
      <c r="C6" s="98">
        <v>0</v>
      </c>
      <c r="D6" s="99">
        <v>1</v>
      </c>
      <c r="E6" s="99">
        <v>0</v>
      </c>
      <c r="F6" s="99">
        <v>1</v>
      </c>
      <c r="G6" s="100">
        <v>3</v>
      </c>
      <c r="H6" s="101">
        <v>625</v>
      </c>
      <c r="I6" s="198">
        <f t="shared" ref="I6:I11" si="0">H6-SUMPRODUCT(C6:G6,$C$13:$G$13)</f>
        <v>0</v>
      </c>
      <c r="J6" s="134"/>
    </row>
    <row r="7" spans="2:10" ht="19.899999999999999" customHeight="1">
      <c r="B7" s="102" t="s">
        <v>54</v>
      </c>
      <c r="C7" s="103">
        <v>3</v>
      </c>
      <c r="D7" s="104">
        <v>1</v>
      </c>
      <c r="E7" s="104">
        <v>0</v>
      </c>
      <c r="F7" s="104">
        <v>1</v>
      </c>
      <c r="G7" s="105">
        <v>0</v>
      </c>
      <c r="H7" s="106">
        <v>640</v>
      </c>
      <c r="I7" s="199">
        <f t="shared" si="0"/>
        <v>3</v>
      </c>
      <c r="J7" s="134"/>
    </row>
    <row r="8" spans="2:10" ht="19.899999999999999" customHeight="1">
      <c r="B8" s="107" t="s">
        <v>55</v>
      </c>
      <c r="C8" s="103">
        <v>2</v>
      </c>
      <c r="D8" s="104">
        <v>1</v>
      </c>
      <c r="E8" s="104">
        <v>2</v>
      </c>
      <c r="F8" s="104">
        <v>0</v>
      </c>
      <c r="G8" s="105">
        <v>2</v>
      </c>
      <c r="H8" s="106">
        <v>1100</v>
      </c>
      <c r="I8" s="199">
        <f t="shared" si="0"/>
        <v>5</v>
      </c>
      <c r="J8" s="134"/>
    </row>
    <row r="9" spans="2:10" ht="19.899999999999999" customHeight="1">
      <c r="B9" s="107" t="s">
        <v>56</v>
      </c>
      <c r="C9" s="103">
        <v>1</v>
      </c>
      <c r="D9" s="104">
        <v>5</v>
      </c>
      <c r="E9" s="104">
        <v>2</v>
      </c>
      <c r="F9" s="104">
        <v>2</v>
      </c>
      <c r="G9" s="105">
        <v>1</v>
      </c>
      <c r="H9" s="106">
        <v>875</v>
      </c>
      <c r="I9" s="199">
        <f t="shared" si="0"/>
        <v>0</v>
      </c>
      <c r="J9" s="134"/>
    </row>
    <row r="10" spans="2:10" ht="19.899999999999999" customHeight="1">
      <c r="B10" s="107" t="s">
        <v>57</v>
      </c>
      <c r="C10" s="103">
        <v>3</v>
      </c>
      <c r="D10" s="104">
        <v>0</v>
      </c>
      <c r="E10" s="104">
        <v>3</v>
      </c>
      <c r="F10" s="104">
        <v>5</v>
      </c>
      <c r="G10" s="105">
        <v>5</v>
      </c>
      <c r="H10" s="106">
        <v>2200</v>
      </c>
      <c r="I10" s="199">
        <f t="shared" si="0"/>
        <v>0</v>
      </c>
      <c r="J10" s="134"/>
    </row>
    <row r="11" spans="2:10" ht="19.899999999999999" customHeight="1" thickBot="1">
      <c r="B11" s="108" t="s">
        <v>58</v>
      </c>
      <c r="C11" s="109">
        <v>1</v>
      </c>
      <c r="D11" s="110">
        <v>2</v>
      </c>
      <c r="E11" s="110">
        <v>3</v>
      </c>
      <c r="F11" s="110">
        <v>2</v>
      </c>
      <c r="G11" s="111">
        <v>3</v>
      </c>
      <c r="H11" s="112">
        <v>1500</v>
      </c>
      <c r="I11" s="200">
        <f t="shared" si="0"/>
        <v>148</v>
      </c>
      <c r="J11" s="134"/>
    </row>
    <row r="12" spans="2:10" ht="19.899999999999999" customHeight="1" thickBot="1">
      <c r="B12" s="113" t="s">
        <v>0</v>
      </c>
      <c r="C12" s="114">
        <v>15</v>
      </c>
      <c r="D12" s="115">
        <v>30</v>
      </c>
      <c r="E12" s="115">
        <v>20</v>
      </c>
      <c r="F12" s="115">
        <v>25</v>
      </c>
      <c r="G12" s="116">
        <v>25</v>
      </c>
      <c r="H12" s="6"/>
      <c r="I12" s="6"/>
    </row>
    <row r="13" spans="2:10" ht="19.899999999999999" customHeight="1" thickTop="1" thickBot="1">
      <c r="B13" s="202" t="s">
        <v>151</v>
      </c>
      <c r="C13" s="179">
        <v>192</v>
      </c>
      <c r="D13" s="180">
        <v>19</v>
      </c>
      <c r="E13" s="180">
        <v>158</v>
      </c>
      <c r="F13" s="180">
        <v>42</v>
      </c>
      <c r="G13" s="181">
        <v>188</v>
      </c>
      <c r="H13" s="6"/>
      <c r="I13" s="6"/>
    </row>
    <row r="14" spans="2:10" ht="15" customHeight="1" thickTop="1">
      <c r="B14" s="142"/>
      <c r="C14" s="142"/>
      <c r="D14" s="143"/>
      <c r="E14" s="143"/>
      <c r="F14" s="143"/>
      <c r="G14" s="143"/>
      <c r="H14" s="6"/>
      <c r="I14" s="6"/>
    </row>
    <row r="15" spans="2:10" ht="15" customHeight="1">
      <c r="B15" s="7"/>
      <c r="C15" s="7"/>
      <c r="D15" s="7"/>
      <c r="E15" s="7"/>
      <c r="F15" s="7"/>
      <c r="G15" s="7"/>
      <c r="H15" s="7"/>
      <c r="I15" s="7"/>
    </row>
    <row r="19" spans="2:2">
      <c r="B19" s="8"/>
    </row>
    <row r="20" spans="2:2">
      <c r="B20" s="8"/>
    </row>
    <row r="21" spans="2:2">
      <c r="B21" s="8"/>
    </row>
    <row r="22" spans="2:2">
      <c r="B22" s="8"/>
    </row>
    <row r="23" spans="2:2">
      <c r="B23" s="8"/>
    </row>
    <row r="24" spans="2:2">
      <c r="B24" s="8"/>
    </row>
    <row r="25" spans="2:2">
      <c r="B25" s="8"/>
    </row>
    <row r="26" spans="2:2">
      <c r="B26" s="8"/>
    </row>
    <row r="27" spans="2:2">
      <c r="B27" s="8"/>
    </row>
    <row r="28" spans="2:2">
      <c r="B28" s="8"/>
    </row>
    <row r="29" spans="2:2">
      <c r="B29" s="8"/>
    </row>
    <row r="30" spans="2:2">
      <c r="B30" s="8"/>
    </row>
    <row r="31" spans="2:2">
      <c r="B31" s="8"/>
    </row>
    <row r="32" spans="2:2">
      <c r="B32" s="8"/>
    </row>
    <row r="33" spans="2:2">
      <c r="B33" s="9"/>
    </row>
  </sheetData>
  <mergeCells count="2">
    <mergeCell ref="C4:G4"/>
    <mergeCell ref="H4:I4"/>
  </mergeCells>
  <phoneticPr fontId="3" type="noConversion"/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1</xdr:col>
                    <xdr:colOff>552450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B1:R21"/>
  <sheetViews>
    <sheetView showZeros="0" workbookViewId="0">
      <selection activeCell="J19" sqref="J19"/>
    </sheetView>
  </sheetViews>
  <sheetFormatPr defaultColWidth="8.125" defaultRowHeight="19.899999999999999" customHeight="1"/>
  <cols>
    <col min="1" max="1" width="2.75" style="41" customWidth="1"/>
    <col min="2" max="7" width="11.125" style="41" customWidth="1"/>
    <col min="8" max="8" width="3.5" style="41" customWidth="1"/>
    <col min="9" max="10" width="10.25" style="41" customWidth="1"/>
    <col min="11" max="11" width="11.125" style="41" customWidth="1"/>
    <col min="12" max="12" width="11" style="41" customWidth="1"/>
    <col min="13" max="13" width="11.125" style="41" customWidth="1"/>
    <col min="14" max="14" width="13.875" style="41" customWidth="1"/>
    <col min="15" max="15" width="2.75" style="41" customWidth="1"/>
    <col min="16" max="22" width="8.125" style="41" customWidth="1"/>
    <col min="23" max="23" width="2.75" style="41" customWidth="1"/>
    <col min="24" max="29" width="8.125" style="41" customWidth="1"/>
    <col min="30" max="16384" width="8.125" style="41"/>
  </cols>
  <sheetData>
    <row r="1" spans="2:16" ht="24" customHeight="1" thickBot="1"/>
    <row r="2" spans="2:16" ht="19.899999999999999" customHeight="1" thickTop="1" thickBot="1">
      <c r="B2" s="51"/>
      <c r="C2" s="59" t="s">
        <v>15</v>
      </c>
      <c r="D2" s="60" t="s">
        <v>14</v>
      </c>
      <c r="E2" s="60" t="s">
        <v>13</v>
      </c>
      <c r="F2" s="61" t="s">
        <v>12</v>
      </c>
      <c r="G2" s="66"/>
      <c r="H2" s="66"/>
      <c r="I2" s="453" t="s">
        <v>31</v>
      </c>
      <c r="J2" s="454"/>
      <c r="K2" s="79">
        <v>4200</v>
      </c>
      <c r="L2" s="66"/>
      <c r="M2" s="228" t="s">
        <v>152</v>
      </c>
      <c r="N2" s="212">
        <f>SUM(C14:F19)</f>
        <v>15705000</v>
      </c>
    </row>
    <row r="3" spans="2:16" ht="19.899999999999999" customHeight="1" thickBot="1">
      <c r="B3" s="77" t="s">
        <v>23</v>
      </c>
      <c r="C3" s="71">
        <v>600</v>
      </c>
      <c r="D3" s="72">
        <v>800</v>
      </c>
      <c r="E3" s="72">
        <v>700</v>
      </c>
      <c r="F3" s="78">
        <v>500</v>
      </c>
      <c r="G3" s="66"/>
      <c r="H3" s="66"/>
      <c r="I3" s="451" t="s">
        <v>32</v>
      </c>
      <c r="J3" s="452"/>
      <c r="K3" s="80">
        <v>3400</v>
      </c>
      <c r="L3" s="66"/>
      <c r="M3" s="66"/>
      <c r="N3" s="66"/>
    </row>
    <row r="4" spans="2:16" ht="15" customHeight="1" thickBot="1"/>
    <row r="5" spans="2:16" ht="19.899999999999999" customHeight="1" thickBot="1">
      <c r="B5" s="51" t="s">
        <v>16</v>
      </c>
      <c r="C5" s="59" t="s">
        <v>15</v>
      </c>
      <c r="D5" s="60" t="s">
        <v>14</v>
      </c>
      <c r="E5" s="60" t="s">
        <v>13</v>
      </c>
      <c r="F5" s="61" t="s">
        <v>12</v>
      </c>
      <c r="G5" s="229" t="s">
        <v>160</v>
      </c>
      <c r="I5" s="406" t="s">
        <v>198</v>
      </c>
      <c r="J5" s="407" t="s">
        <v>15</v>
      </c>
      <c r="K5" s="408" t="s">
        <v>14</v>
      </c>
      <c r="L5" s="408" t="s">
        <v>13</v>
      </c>
      <c r="M5" s="409" t="s">
        <v>12</v>
      </c>
      <c r="N5" s="229" t="s">
        <v>161</v>
      </c>
    </row>
    <row r="6" spans="2:16" ht="19.899999999999999" customHeight="1" thickTop="1">
      <c r="B6" s="62" t="s">
        <v>17</v>
      </c>
      <c r="C6" s="75">
        <v>750</v>
      </c>
      <c r="D6" s="76">
        <v>600</v>
      </c>
      <c r="E6" s="76">
        <v>650</v>
      </c>
      <c r="F6" s="153">
        <v>800</v>
      </c>
      <c r="G6" s="225">
        <f t="shared" ref="G6:G11" si="0">SUM(C6:F6)</f>
        <v>2800</v>
      </c>
      <c r="I6" s="403" t="s">
        <v>197</v>
      </c>
      <c r="J6" s="203">
        <v>750</v>
      </c>
      <c r="K6" s="204">
        <v>600</v>
      </c>
      <c r="L6" s="204">
        <v>650</v>
      </c>
      <c r="M6" s="205">
        <v>1400</v>
      </c>
      <c r="N6" s="213">
        <f t="shared" ref="N6:N11" si="1">SUM(J6:M6)</f>
        <v>3400</v>
      </c>
    </row>
    <row r="7" spans="2:16" ht="19.899999999999999" customHeight="1">
      <c r="B7" s="63" t="s">
        <v>18</v>
      </c>
      <c r="C7" s="73">
        <v>950</v>
      </c>
      <c r="D7" s="74">
        <v>750</v>
      </c>
      <c r="E7" s="74">
        <v>850</v>
      </c>
      <c r="F7" s="154">
        <v>950</v>
      </c>
      <c r="G7" s="226">
        <f t="shared" si="0"/>
        <v>3500</v>
      </c>
      <c r="I7" s="404" t="s">
        <v>192</v>
      </c>
      <c r="J7" s="206">
        <v>950</v>
      </c>
      <c r="K7" s="207">
        <v>750</v>
      </c>
      <c r="L7" s="207">
        <v>850</v>
      </c>
      <c r="M7" s="208">
        <v>1500</v>
      </c>
      <c r="N7" s="214">
        <f t="shared" si="1"/>
        <v>4050</v>
      </c>
    </row>
    <row r="8" spans="2:16" ht="19.899999999999999" customHeight="1">
      <c r="B8" s="63" t="s">
        <v>19</v>
      </c>
      <c r="C8" s="73">
        <v>1050</v>
      </c>
      <c r="D8" s="74">
        <v>1250</v>
      </c>
      <c r="E8" s="74">
        <v>950</v>
      </c>
      <c r="F8" s="154">
        <v>1050</v>
      </c>
      <c r="G8" s="226">
        <f t="shared" si="0"/>
        <v>4300</v>
      </c>
      <c r="I8" s="404" t="s">
        <v>193</v>
      </c>
      <c r="J8" s="206">
        <v>1050</v>
      </c>
      <c r="K8" s="207">
        <v>1250</v>
      </c>
      <c r="L8" s="207">
        <v>950</v>
      </c>
      <c r="M8" s="208">
        <v>950</v>
      </c>
      <c r="N8" s="214">
        <f t="shared" si="1"/>
        <v>4200</v>
      </c>
    </row>
    <row r="9" spans="2:16" ht="19.899999999999999" customHeight="1">
      <c r="B9" s="63" t="s">
        <v>20</v>
      </c>
      <c r="C9" s="73">
        <v>950</v>
      </c>
      <c r="D9" s="74">
        <v>850</v>
      </c>
      <c r="E9" s="74">
        <v>1000</v>
      </c>
      <c r="F9" s="154">
        <v>1250</v>
      </c>
      <c r="G9" s="226">
        <f t="shared" si="0"/>
        <v>4050</v>
      </c>
      <c r="I9" s="404" t="s">
        <v>194</v>
      </c>
      <c r="J9" s="206">
        <v>950</v>
      </c>
      <c r="K9" s="207">
        <v>850</v>
      </c>
      <c r="L9" s="207">
        <v>1000</v>
      </c>
      <c r="M9" s="208">
        <v>1400</v>
      </c>
      <c r="N9" s="214">
        <f t="shared" si="1"/>
        <v>4200</v>
      </c>
    </row>
    <row r="10" spans="2:16" ht="19.899999999999999" customHeight="1">
      <c r="B10" s="63" t="s">
        <v>21</v>
      </c>
      <c r="C10" s="73">
        <v>1100</v>
      </c>
      <c r="D10" s="74">
        <v>1300</v>
      </c>
      <c r="E10" s="74">
        <v>1350</v>
      </c>
      <c r="F10" s="154">
        <v>1150</v>
      </c>
      <c r="G10" s="226">
        <f t="shared" si="0"/>
        <v>4900</v>
      </c>
      <c r="I10" s="404" t="s">
        <v>195</v>
      </c>
      <c r="J10" s="206">
        <v>1100</v>
      </c>
      <c r="K10" s="207">
        <v>1300</v>
      </c>
      <c r="L10" s="207">
        <v>1350</v>
      </c>
      <c r="M10" s="208">
        <v>450</v>
      </c>
      <c r="N10" s="214">
        <f t="shared" si="1"/>
        <v>4200</v>
      </c>
    </row>
    <row r="11" spans="2:16" ht="19.899999999999999" customHeight="1" thickBot="1">
      <c r="B11" s="64" t="s">
        <v>22</v>
      </c>
      <c r="C11" s="155">
        <v>1200</v>
      </c>
      <c r="D11" s="156">
        <v>1100</v>
      </c>
      <c r="E11" s="156">
        <v>1100</v>
      </c>
      <c r="F11" s="157">
        <v>1300</v>
      </c>
      <c r="G11" s="227">
        <f t="shared" si="0"/>
        <v>4700</v>
      </c>
      <c r="I11" s="405" t="s">
        <v>196</v>
      </c>
      <c r="J11" s="209">
        <v>1200</v>
      </c>
      <c r="K11" s="210">
        <v>1100</v>
      </c>
      <c r="L11" s="210">
        <v>1100</v>
      </c>
      <c r="M11" s="211">
        <v>800</v>
      </c>
      <c r="N11" s="215">
        <f t="shared" si="1"/>
        <v>4200</v>
      </c>
    </row>
    <row r="12" spans="2:16" ht="15" customHeight="1" thickBot="1">
      <c r="B12" s="66"/>
      <c r="C12" s="66"/>
      <c r="D12" s="66"/>
      <c r="E12" s="66"/>
      <c r="F12" s="66"/>
      <c r="G12" s="66"/>
      <c r="H12" s="66"/>
      <c r="I12" s="152"/>
      <c r="J12" s="152"/>
      <c r="K12" s="152"/>
      <c r="L12" s="152"/>
      <c r="M12" s="152"/>
      <c r="N12" s="66"/>
    </row>
    <row r="13" spans="2:16" ht="19.899999999999999" customHeight="1" thickBot="1">
      <c r="B13" s="229" t="s">
        <v>153</v>
      </c>
      <c r="C13" s="230" t="s">
        <v>15</v>
      </c>
      <c r="D13" s="231" t="s">
        <v>14</v>
      </c>
      <c r="E13" s="231" t="s">
        <v>13</v>
      </c>
      <c r="F13" s="232" t="s">
        <v>12</v>
      </c>
      <c r="G13"/>
      <c r="H13" s="66"/>
      <c r="I13" s="229" t="s">
        <v>162</v>
      </c>
      <c r="J13" s="230" t="s">
        <v>15</v>
      </c>
      <c r="K13" s="231" t="s">
        <v>14</v>
      </c>
      <c r="L13" s="231" t="s">
        <v>13</v>
      </c>
      <c r="M13" s="232" t="s">
        <v>12</v>
      </c>
      <c r="N13"/>
      <c r="O13"/>
      <c r="P13"/>
    </row>
    <row r="14" spans="2:16" ht="19.899999999999999" customHeight="1">
      <c r="B14" s="233" t="s">
        <v>154</v>
      </c>
      <c r="C14" s="216">
        <f t="shared" ref="C14:F19" si="2">J6*C$3+J14*C$3*0.02</f>
        <v>450000</v>
      </c>
      <c r="D14" s="217">
        <f t="shared" si="2"/>
        <v>480000</v>
      </c>
      <c r="E14" s="217">
        <f t="shared" si="2"/>
        <v>455000</v>
      </c>
      <c r="F14" s="218">
        <f t="shared" si="2"/>
        <v>706000</v>
      </c>
      <c r="G14"/>
      <c r="H14" s="66"/>
      <c r="I14" s="233" t="s">
        <v>163</v>
      </c>
      <c r="J14" s="216">
        <f t="shared" ref="J14:M19" si="3">SUM(J6,J13)-C6</f>
        <v>0</v>
      </c>
      <c r="K14" s="217">
        <f t="shared" si="3"/>
        <v>0</v>
      </c>
      <c r="L14" s="217">
        <f t="shared" si="3"/>
        <v>0</v>
      </c>
      <c r="M14" s="218">
        <f t="shared" si="3"/>
        <v>600</v>
      </c>
      <c r="N14"/>
      <c r="O14"/>
      <c r="P14"/>
    </row>
    <row r="15" spans="2:16" ht="19.899999999999999" customHeight="1">
      <c r="B15" s="234" t="s">
        <v>155</v>
      </c>
      <c r="C15" s="219">
        <f t="shared" si="2"/>
        <v>570000</v>
      </c>
      <c r="D15" s="220">
        <f t="shared" si="2"/>
        <v>600000</v>
      </c>
      <c r="E15" s="220">
        <f t="shared" si="2"/>
        <v>595000</v>
      </c>
      <c r="F15" s="221">
        <f t="shared" si="2"/>
        <v>761500</v>
      </c>
      <c r="G15"/>
      <c r="H15" s="66"/>
      <c r="I15" s="234" t="s">
        <v>164</v>
      </c>
      <c r="J15" s="219">
        <f t="shared" si="3"/>
        <v>0</v>
      </c>
      <c r="K15" s="220">
        <f t="shared" si="3"/>
        <v>0</v>
      </c>
      <c r="L15" s="220">
        <f t="shared" si="3"/>
        <v>0</v>
      </c>
      <c r="M15" s="221">
        <f t="shared" si="3"/>
        <v>1150</v>
      </c>
      <c r="N15"/>
      <c r="O15"/>
      <c r="P15"/>
    </row>
    <row r="16" spans="2:16" ht="19.899999999999999" customHeight="1">
      <c r="B16" s="234" t="s">
        <v>156</v>
      </c>
      <c r="C16" s="219">
        <f t="shared" si="2"/>
        <v>630000</v>
      </c>
      <c r="D16" s="220">
        <f t="shared" si="2"/>
        <v>1000000</v>
      </c>
      <c r="E16" s="220">
        <f t="shared" si="2"/>
        <v>665000</v>
      </c>
      <c r="F16" s="221">
        <f t="shared" si="2"/>
        <v>485500</v>
      </c>
      <c r="G16"/>
      <c r="H16" s="66"/>
      <c r="I16" s="234" t="s">
        <v>165</v>
      </c>
      <c r="J16" s="219">
        <f t="shared" si="3"/>
        <v>0</v>
      </c>
      <c r="K16" s="220">
        <f t="shared" si="3"/>
        <v>0</v>
      </c>
      <c r="L16" s="220">
        <f t="shared" si="3"/>
        <v>0</v>
      </c>
      <c r="M16" s="221">
        <f t="shared" si="3"/>
        <v>1050</v>
      </c>
      <c r="N16"/>
      <c r="O16"/>
      <c r="P16"/>
    </row>
    <row r="17" spans="2:16" ht="19.899999999999999" customHeight="1">
      <c r="B17" s="234" t="s">
        <v>157</v>
      </c>
      <c r="C17" s="219">
        <f t="shared" si="2"/>
        <v>570000</v>
      </c>
      <c r="D17" s="220">
        <f t="shared" si="2"/>
        <v>680000</v>
      </c>
      <c r="E17" s="220">
        <f t="shared" si="2"/>
        <v>700000</v>
      </c>
      <c r="F17" s="221">
        <f t="shared" si="2"/>
        <v>712000</v>
      </c>
      <c r="G17"/>
      <c r="H17" s="66"/>
      <c r="I17" s="234" t="s">
        <v>166</v>
      </c>
      <c r="J17" s="219">
        <f t="shared" si="3"/>
        <v>0</v>
      </c>
      <c r="K17" s="220">
        <f t="shared" si="3"/>
        <v>0</v>
      </c>
      <c r="L17" s="220">
        <f t="shared" si="3"/>
        <v>0</v>
      </c>
      <c r="M17" s="221">
        <f t="shared" si="3"/>
        <v>1200</v>
      </c>
      <c r="N17"/>
      <c r="O17"/>
      <c r="P17"/>
    </row>
    <row r="18" spans="2:16" ht="19.899999999999999" customHeight="1">
      <c r="B18" s="234" t="s">
        <v>158</v>
      </c>
      <c r="C18" s="219">
        <f t="shared" si="2"/>
        <v>660000</v>
      </c>
      <c r="D18" s="220">
        <f t="shared" si="2"/>
        <v>1040000</v>
      </c>
      <c r="E18" s="220">
        <f t="shared" si="2"/>
        <v>945000</v>
      </c>
      <c r="F18" s="221">
        <f t="shared" si="2"/>
        <v>230000</v>
      </c>
      <c r="G18"/>
      <c r="H18" s="66"/>
      <c r="I18" s="234" t="s">
        <v>167</v>
      </c>
      <c r="J18" s="219">
        <f t="shared" si="3"/>
        <v>0</v>
      </c>
      <c r="K18" s="220">
        <f t="shared" si="3"/>
        <v>0</v>
      </c>
      <c r="L18" s="220">
        <f t="shared" si="3"/>
        <v>0</v>
      </c>
      <c r="M18" s="221">
        <f t="shared" si="3"/>
        <v>500</v>
      </c>
      <c r="N18"/>
      <c r="O18"/>
      <c r="P18"/>
    </row>
    <row r="19" spans="2:16" ht="19.899999999999999" customHeight="1" thickBot="1">
      <c r="B19" s="235" t="s">
        <v>159</v>
      </c>
      <c r="C19" s="222">
        <f t="shared" si="2"/>
        <v>720000</v>
      </c>
      <c r="D19" s="223">
        <f t="shared" si="2"/>
        <v>880000</v>
      </c>
      <c r="E19" s="223">
        <f t="shared" si="2"/>
        <v>770000</v>
      </c>
      <c r="F19" s="224">
        <f t="shared" si="2"/>
        <v>400000</v>
      </c>
      <c r="G19"/>
      <c r="H19" s="66"/>
      <c r="I19" s="235" t="s">
        <v>168</v>
      </c>
      <c r="J19" s="222">
        <f t="shared" si="3"/>
        <v>0</v>
      </c>
      <c r="K19" s="223">
        <f t="shared" si="3"/>
        <v>0</v>
      </c>
      <c r="L19" s="223">
        <f t="shared" si="3"/>
        <v>0</v>
      </c>
      <c r="M19" s="224">
        <f t="shared" si="3"/>
        <v>0</v>
      </c>
      <c r="N19"/>
      <c r="O19"/>
      <c r="P19"/>
    </row>
    <row r="20" spans="2:16" ht="15" customHeight="1">
      <c r="B20" s="58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</row>
    <row r="21" spans="2:16" ht="19.899999999999999" customHeight="1">
      <c r="B21" s="58"/>
      <c r="C21" s="58"/>
      <c r="D21" s="58"/>
      <c r="E21" s="58"/>
      <c r="F21" s="58"/>
    </row>
  </sheetData>
  <mergeCells count="2">
    <mergeCell ref="I3:J3"/>
    <mergeCell ref="I2:J2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1</xdr:col>
                    <xdr:colOff>552450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9"/>
  <dimension ref="B1:J16"/>
  <sheetViews>
    <sheetView showZeros="0" zoomScaleNormal="100" workbookViewId="0">
      <selection activeCell="L22" sqref="L22"/>
    </sheetView>
  </sheetViews>
  <sheetFormatPr defaultColWidth="8.125" defaultRowHeight="15"/>
  <cols>
    <col min="1" max="1" width="2.75" style="41" customWidth="1"/>
    <col min="2" max="2" width="17.625" style="41" customWidth="1"/>
    <col min="3" max="3" width="10.625" style="41" customWidth="1"/>
    <col min="4" max="8" width="11.625" style="41" customWidth="1"/>
    <col min="9" max="9" width="10.625" style="41" customWidth="1"/>
    <col min="10" max="10" width="2.75" style="41" customWidth="1"/>
    <col min="11" max="16384" width="8.125" style="41"/>
  </cols>
  <sheetData>
    <row r="1" spans="2:10" ht="24" customHeight="1" thickBot="1"/>
    <row r="2" spans="2:10" ht="19.899999999999999" customHeight="1" thickTop="1" thickBot="1">
      <c r="B2" s="266" t="s">
        <v>170</v>
      </c>
      <c r="C2" s="212">
        <f>SUMPRODUCT(C6:C12,I6:I12)</f>
        <v>21500</v>
      </c>
    </row>
    <row r="3" spans="2:10" ht="15" customHeight="1" thickBot="1"/>
    <row r="4" spans="2:10" ht="24.6" customHeight="1" thickBot="1">
      <c r="D4" s="455" t="s">
        <v>59</v>
      </c>
      <c r="E4" s="456"/>
      <c r="F4" s="456"/>
      <c r="G4" s="456"/>
      <c r="H4" s="457"/>
    </row>
    <row r="5" spans="2:10" ht="19.899999999999999" customHeight="1" thickBot="1">
      <c r="B5" s="47" t="s">
        <v>60</v>
      </c>
      <c r="C5" s="44" t="s">
        <v>61</v>
      </c>
      <c r="D5" s="42" t="s">
        <v>62</v>
      </c>
      <c r="E5" s="43" t="s">
        <v>63</v>
      </c>
      <c r="F5" s="43" t="s">
        <v>64</v>
      </c>
      <c r="G5" s="43" t="s">
        <v>65</v>
      </c>
      <c r="H5" s="48" t="s">
        <v>66</v>
      </c>
      <c r="I5" s="265" t="s">
        <v>169</v>
      </c>
      <c r="J5" s="267"/>
    </row>
    <row r="6" spans="2:10" ht="19.899999999999999" customHeight="1" thickTop="1">
      <c r="B6" s="54" t="s">
        <v>67</v>
      </c>
      <c r="C6" s="55">
        <v>7000</v>
      </c>
      <c r="D6" s="52">
        <v>2400</v>
      </c>
      <c r="E6" s="46">
        <v>1200</v>
      </c>
      <c r="F6" s="46">
        <v>3200</v>
      </c>
      <c r="G6" s="46">
        <v>2230</v>
      </c>
      <c r="H6" s="49">
        <v>3200</v>
      </c>
      <c r="I6" s="259">
        <v>1</v>
      </c>
      <c r="J6" s="268"/>
    </row>
    <row r="7" spans="2:10" ht="19.899999999999999" customHeight="1">
      <c r="B7" s="56" t="s">
        <v>68</v>
      </c>
      <c r="C7" s="57">
        <v>5000</v>
      </c>
      <c r="D7" s="53">
        <v>2200</v>
      </c>
      <c r="E7" s="45">
        <v>1500</v>
      </c>
      <c r="F7" s="45">
        <v>4600</v>
      </c>
      <c r="G7" s="45">
        <v>2210</v>
      </c>
      <c r="H7" s="50">
        <v>2700</v>
      </c>
      <c r="I7" s="260">
        <v>0</v>
      </c>
      <c r="J7" s="268"/>
    </row>
    <row r="8" spans="2:10" ht="19.899999999999999" customHeight="1">
      <c r="B8" s="56" t="s">
        <v>69</v>
      </c>
      <c r="C8" s="57">
        <v>12000</v>
      </c>
      <c r="D8" s="53">
        <v>5800</v>
      </c>
      <c r="E8" s="45">
        <v>4200</v>
      </c>
      <c r="F8" s="45">
        <v>2800</v>
      </c>
      <c r="G8" s="45">
        <v>3420</v>
      </c>
      <c r="H8" s="50">
        <v>2020</v>
      </c>
      <c r="I8" s="260">
        <v>0</v>
      </c>
      <c r="J8" s="268"/>
    </row>
    <row r="9" spans="2:10" ht="19.899999999999999" customHeight="1">
      <c r="B9" s="56" t="s">
        <v>70</v>
      </c>
      <c r="C9" s="57">
        <v>6000</v>
      </c>
      <c r="D9" s="53">
        <v>2000</v>
      </c>
      <c r="E9" s="45">
        <v>2800</v>
      </c>
      <c r="F9" s="45">
        <v>2100</v>
      </c>
      <c r="G9" s="45">
        <v>2230</v>
      </c>
      <c r="H9" s="50">
        <v>2120</v>
      </c>
      <c r="I9" s="260">
        <v>0</v>
      </c>
      <c r="J9" s="268"/>
    </row>
    <row r="10" spans="2:10" ht="19.899999999999999" customHeight="1">
      <c r="B10" s="56" t="s">
        <v>71</v>
      </c>
      <c r="C10" s="57">
        <v>8000</v>
      </c>
      <c r="D10" s="53">
        <v>4500</v>
      </c>
      <c r="E10" s="45">
        <v>2500</v>
      </c>
      <c r="F10" s="45">
        <v>3400</v>
      </c>
      <c r="G10" s="45">
        <v>2900</v>
      </c>
      <c r="H10" s="50">
        <v>850</v>
      </c>
      <c r="I10" s="260">
        <v>1</v>
      </c>
      <c r="J10" s="268"/>
    </row>
    <row r="11" spans="2:10" ht="19.899999999999999" customHeight="1">
      <c r="B11" s="56" t="s">
        <v>72</v>
      </c>
      <c r="C11" s="57">
        <v>4000</v>
      </c>
      <c r="D11" s="53">
        <v>3200</v>
      </c>
      <c r="E11" s="45">
        <v>1800</v>
      </c>
      <c r="F11" s="45">
        <v>2150</v>
      </c>
      <c r="G11" s="45">
        <v>2000</v>
      </c>
      <c r="H11" s="50">
        <v>1400</v>
      </c>
      <c r="I11" s="260">
        <v>0</v>
      </c>
      <c r="J11" s="268"/>
    </row>
    <row r="12" spans="2:10" ht="19.899999999999999" customHeight="1" thickBot="1">
      <c r="B12" s="137" t="s">
        <v>73</v>
      </c>
      <c r="C12" s="138">
        <v>6500</v>
      </c>
      <c r="D12" s="139">
        <v>2700</v>
      </c>
      <c r="E12" s="140">
        <v>2200</v>
      </c>
      <c r="F12" s="140">
        <v>2400</v>
      </c>
      <c r="G12" s="140">
        <v>3200</v>
      </c>
      <c r="H12" s="141">
        <v>1080</v>
      </c>
      <c r="I12" s="261">
        <v>1</v>
      </c>
      <c r="J12" s="268"/>
    </row>
    <row r="13" spans="2:10" ht="19.899999999999999" customHeight="1">
      <c r="B13" s="460" t="s">
        <v>171</v>
      </c>
      <c r="C13" s="461"/>
      <c r="D13" s="262">
        <f t="shared" ref="D13:H13" si="0">SUMPRODUCT(D6:D12,$I$6:$I$12)</f>
        <v>9600</v>
      </c>
      <c r="E13" s="263">
        <f t="shared" si="0"/>
        <v>5900</v>
      </c>
      <c r="F13" s="263">
        <f t="shared" si="0"/>
        <v>9000</v>
      </c>
      <c r="G13" s="263">
        <f t="shared" si="0"/>
        <v>8330</v>
      </c>
      <c r="H13" s="264">
        <f t="shared" si="0"/>
        <v>5130</v>
      </c>
      <c r="I13" s="239"/>
    </row>
    <row r="14" spans="2:10" ht="19.899999999999999" customHeight="1" thickBot="1">
      <c r="B14" s="458" t="s">
        <v>172</v>
      </c>
      <c r="C14" s="459"/>
      <c r="D14" s="117">
        <v>9800</v>
      </c>
      <c r="E14" s="118">
        <v>6200</v>
      </c>
      <c r="F14" s="118">
        <v>9700</v>
      </c>
      <c r="G14" s="118">
        <v>8400</v>
      </c>
      <c r="H14" s="119">
        <v>5200</v>
      </c>
    </row>
    <row r="15" spans="2:10" ht="15" customHeight="1"/>
    <row r="16" spans="2:10" ht="15" customHeight="1"/>
  </sheetData>
  <mergeCells count="3">
    <mergeCell ref="D4:H4"/>
    <mergeCell ref="B14:C14"/>
    <mergeCell ref="B13:C13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1</xdr:col>
                    <xdr:colOff>552450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C9938D9-4157-4297-922F-B85517C30BE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I6:I12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B1:L27"/>
  <sheetViews>
    <sheetView showZeros="0" zoomScaleNormal="100" workbookViewId="0">
      <selection activeCell="J23" sqref="J23"/>
    </sheetView>
  </sheetViews>
  <sheetFormatPr defaultColWidth="8.125" defaultRowHeight="15"/>
  <cols>
    <col min="1" max="1" width="2.75" style="21" customWidth="1"/>
    <col min="2" max="2" width="12.625" style="21" customWidth="1"/>
    <col min="3" max="10" width="9.25" style="21" customWidth="1"/>
    <col min="11" max="12" width="8.75" style="21" customWidth="1"/>
    <col min="13" max="13" width="2.75" style="21" customWidth="1"/>
    <col min="14" max="16384" width="8.125" style="21"/>
  </cols>
  <sheetData>
    <row r="1" spans="2:12" ht="24" customHeight="1" thickBot="1"/>
    <row r="2" spans="2:12" ht="19.899999999999999" customHeight="1" thickTop="1" thickBot="1">
      <c r="B2" s="410" t="s">
        <v>74</v>
      </c>
      <c r="C2" s="269">
        <f>SUMPRODUCT(C6:J13,C17:J24)</f>
        <v>17900</v>
      </c>
    </row>
    <row r="3" spans="2:12" ht="15" customHeight="1">
      <c r="B3" s="22"/>
    </row>
    <row r="4" spans="2:12" ht="24.6" customHeight="1" thickBot="1">
      <c r="B4" s="462" t="s">
        <v>10</v>
      </c>
      <c r="C4" s="462"/>
      <c r="D4" s="462"/>
      <c r="E4" s="462"/>
      <c r="F4" s="462"/>
      <c r="G4" s="462"/>
      <c r="H4" s="462"/>
      <c r="I4" s="462"/>
      <c r="J4" s="462"/>
    </row>
    <row r="5" spans="2:12" ht="19.899999999999999" customHeight="1" thickBot="1">
      <c r="B5" s="16" t="s">
        <v>1</v>
      </c>
      <c r="C5" s="35" t="s">
        <v>2</v>
      </c>
      <c r="D5" s="33" t="s">
        <v>3</v>
      </c>
      <c r="E5" s="33" t="s">
        <v>4</v>
      </c>
      <c r="F5" s="33" t="s">
        <v>5</v>
      </c>
      <c r="G5" s="33" t="s">
        <v>6</v>
      </c>
      <c r="H5" s="33" t="s">
        <v>7</v>
      </c>
      <c r="I5" s="33" t="s">
        <v>8</v>
      </c>
      <c r="J5" s="34" t="s">
        <v>9</v>
      </c>
    </row>
    <row r="6" spans="2:12" ht="19.899999999999999" customHeight="1">
      <c r="B6" s="236" t="s">
        <v>174</v>
      </c>
      <c r="C6" s="36">
        <v>0</v>
      </c>
      <c r="D6" s="31">
        <v>2500</v>
      </c>
      <c r="E6" s="31">
        <v>3000</v>
      </c>
      <c r="F6" s="31">
        <v>3200</v>
      </c>
      <c r="G6" s="30">
        <v>0</v>
      </c>
      <c r="H6" s="31">
        <v>3000</v>
      </c>
      <c r="I6" s="31">
        <v>2400</v>
      </c>
      <c r="J6" s="32">
        <v>2500</v>
      </c>
    </row>
    <row r="7" spans="2:12" ht="19.899999999999999" customHeight="1">
      <c r="B7" s="237" t="s">
        <v>175</v>
      </c>
      <c r="C7" s="37">
        <v>0</v>
      </c>
      <c r="D7" s="24">
        <v>2600</v>
      </c>
      <c r="E7" s="24">
        <v>2600</v>
      </c>
      <c r="F7" s="24">
        <v>2800</v>
      </c>
      <c r="G7" s="23">
        <v>0</v>
      </c>
      <c r="H7" s="24">
        <v>2800</v>
      </c>
      <c r="I7" s="24">
        <v>2200</v>
      </c>
      <c r="J7" s="25">
        <v>2600</v>
      </c>
    </row>
    <row r="8" spans="2:12" ht="19.899999999999999" customHeight="1">
      <c r="B8" s="237" t="s">
        <v>176</v>
      </c>
      <c r="C8" s="37">
        <v>0</v>
      </c>
      <c r="D8" s="24">
        <v>2800</v>
      </c>
      <c r="E8" s="24">
        <v>3200</v>
      </c>
      <c r="F8" s="23">
        <v>0</v>
      </c>
      <c r="G8" s="24">
        <v>3000</v>
      </c>
      <c r="H8" s="24">
        <v>3000</v>
      </c>
      <c r="I8" s="26">
        <v>0</v>
      </c>
      <c r="J8" s="25">
        <v>2800</v>
      </c>
    </row>
    <row r="9" spans="2:12" ht="19.899999999999999" customHeight="1">
      <c r="B9" s="237" t="s">
        <v>177</v>
      </c>
      <c r="C9" s="38">
        <v>1800</v>
      </c>
      <c r="D9" s="24">
        <v>2600</v>
      </c>
      <c r="E9" s="24">
        <v>1800</v>
      </c>
      <c r="F9" s="24">
        <v>1800</v>
      </c>
      <c r="G9" s="24">
        <v>1800</v>
      </c>
      <c r="H9" s="24">
        <v>1800</v>
      </c>
      <c r="I9" s="26">
        <v>0</v>
      </c>
      <c r="J9" s="25">
        <v>2600</v>
      </c>
    </row>
    <row r="10" spans="2:12" ht="19.899999999999999" customHeight="1">
      <c r="B10" s="237" t="s">
        <v>178</v>
      </c>
      <c r="C10" s="38">
        <v>2000</v>
      </c>
      <c r="D10" s="24">
        <v>2500</v>
      </c>
      <c r="E10" s="23">
        <v>0</v>
      </c>
      <c r="F10" s="23">
        <v>0</v>
      </c>
      <c r="G10" s="24">
        <v>2000</v>
      </c>
      <c r="H10" s="23">
        <v>0</v>
      </c>
      <c r="I10" s="26">
        <v>0</v>
      </c>
      <c r="J10" s="25">
        <v>2500</v>
      </c>
    </row>
    <row r="11" spans="2:12" ht="19.899999999999999" customHeight="1">
      <c r="B11" s="237" t="s">
        <v>179</v>
      </c>
      <c r="C11" s="38">
        <v>2500</v>
      </c>
      <c r="D11" s="24">
        <v>2000</v>
      </c>
      <c r="E11" s="23">
        <v>0</v>
      </c>
      <c r="F11" s="24">
        <v>2000</v>
      </c>
      <c r="G11" s="24">
        <v>2500</v>
      </c>
      <c r="H11" s="23">
        <v>0</v>
      </c>
      <c r="I11" s="24">
        <v>2500</v>
      </c>
      <c r="J11" s="25">
        <v>2000</v>
      </c>
    </row>
    <row r="12" spans="2:12" ht="19.899999999999999" customHeight="1">
      <c r="B12" s="237" t="s">
        <v>180</v>
      </c>
      <c r="C12" s="37">
        <v>0</v>
      </c>
      <c r="D12" s="24">
        <v>2500</v>
      </c>
      <c r="E12" s="23">
        <v>0</v>
      </c>
      <c r="F12" s="24">
        <v>2200</v>
      </c>
      <c r="G12" s="24">
        <v>2000</v>
      </c>
      <c r="H12" s="23">
        <v>0</v>
      </c>
      <c r="I12" s="24">
        <v>2200</v>
      </c>
      <c r="J12" s="25">
        <v>2500</v>
      </c>
    </row>
    <row r="13" spans="2:12" ht="19.899999999999999" customHeight="1" thickBot="1">
      <c r="B13" s="238" t="s">
        <v>181</v>
      </c>
      <c r="C13" s="39">
        <v>2600</v>
      </c>
      <c r="D13" s="27">
        <v>2600</v>
      </c>
      <c r="E13" s="28">
        <v>2600</v>
      </c>
      <c r="F13" s="27">
        <v>0</v>
      </c>
      <c r="G13" s="27">
        <v>2600</v>
      </c>
      <c r="H13" s="28">
        <v>2600</v>
      </c>
      <c r="I13" s="27">
        <v>2600</v>
      </c>
      <c r="J13" s="29">
        <v>2600</v>
      </c>
    </row>
    <row r="14" spans="2:12" ht="15" customHeight="1"/>
    <row r="15" spans="2:12" ht="24.6" customHeight="1" thickBot="1">
      <c r="B15" s="462" t="s">
        <v>11</v>
      </c>
      <c r="C15" s="462"/>
      <c r="D15" s="462"/>
      <c r="E15" s="462"/>
      <c r="F15" s="462"/>
      <c r="G15" s="462"/>
      <c r="H15" s="462"/>
      <c r="I15" s="462"/>
      <c r="J15" s="462"/>
      <c r="K15" s="462"/>
    </row>
    <row r="16" spans="2:12" ht="19.899999999999999" customHeight="1" thickBot="1">
      <c r="B16" s="40" t="s">
        <v>75</v>
      </c>
      <c r="C16" s="414" t="s">
        <v>199</v>
      </c>
      <c r="D16" s="415" t="s">
        <v>200</v>
      </c>
      <c r="E16" s="415" t="s">
        <v>201</v>
      </c>
      <c r="F16" s="415" t="s">
        <v>202</v>
      </c>
      <c r="G16" s="416" t="s">
        <v>203</v>
      </c>
      <c r="H16" s="415" t="s">
        <v>204</v>
      </c>
      <c r="I16" s="415" t="s">
        <v>205</v>
      </c>
      <c r="J16" s="417" t="s">
        <v>206</v>
      </c>
      <c r="K16" s="319" t="s">
        <v>76</v>
      </c>
      <c r="L16" s="320" t="s">
        <v>173</v>
      </c>
    </row>
    <row r="17" spans="2:12" ht="19.899999999999999" customHeight="1" thickTop="1">
      <c r="B17" s="411" t="s">
        <v>77</v>
      </c>
      <c r="C17" s="270">
        <v>0</v>
      </c>
      <c r="D17" s="271">
        <v>0</v>
      </c>
      <c r="E17" s="272">
        <v>0</v>
      </c>
      <c r="F17" s="273">
        <v>0</v>
      </c>
      <c r="G17" s="270">
        <v>0</v>
      </c>
      <c r="H17" s="271">
        <v>0</v>
      </c>
      <c r="I17" s="272">
        <v>0</v>
      </c>
      <c r="J17" s="273">
        <v>1</v>
      </c>
      <c r="K17" s="309" t="str">
        <f>INDEX($C$16:$J$16,MATCH(1,C17:J17,0))</f>
        <v>陳國桂</v>
      </c>
      <c r="L17" s="312">
        <f t="shared" ref="L17:L24" si="0">SUM(C17:J17)</f>
        <v>1</v>
      </c>
    </row>
    <row r="18" spans="2:12" ht="19.899999999999999" customHeight="1" thickBot="1">
      <c r="B18" s="412" t="s">
        <v>78</v>
      </c>
      <c r="C18" s="274">
        <v>0</v>
      </c>
      <c r="D18" s="275">
        <v>0</v>
      </c>
      <c r="E18" s="276">
        <v>0</v>
      </c>
      <c r="F18" s="277">
        <v>0</v>
      </c>
      <c r="G18" s="278">
        <v>0</v>
      </c>
      <c r="H18" s="279">
        <v>0</v>
      </c>
      <c r="I18" s="280">
        <v>1</v>
      </c>
      <c r="J18" s="281">
        <v>0</v>
      </c>
      <c r="K18" s="310" t="str">
        <f>INDEX($C$16:$J$16,MATCH(1,C18:J18,0))</f>
        <v>楊佑偵</v>
      </c>
      <c r="L18" s="313">
        <f t="shared" si="0"/>
        <v>1</v>
      </c>
    </row>
    <row r="19" spans="2:12" ht="19.899999999999999" customHeight="1" thickTop="1" thickBot="1">
      <c r="B19" s="412" t="s">
        <v>79</v>
      </c>
      <c r="C19" s="282">
        <v>0</v>
      </c>
      <c r="D19" s="279">
        <v>1</v>
      </c>
      <c r="E19" s="283">
        <v>0</v>
      </c>
      <c r="F19" s="284">
        <v>0</v>
      </c>
      <c r="G19" s="285">
        <v>0</v>
      </c>
      <c r="H19" s="283">
        <v>0</v>
      </c>
      <c r="I19" s="286">
        <v>0</v>
      </c>
      <c r="J19" s="287">
        <v>0</v>
      </c>
      <c r="K19" s="310" t="str">
        <f>INDEX($C$16:$J$16,MATCH(1,C19:J19,0))</f>
        <v>黃文德</v>
      </c>
      <c r="L19" s="313">
        <f t="shared" si="0"/>
        <v>1</v>
      </c>
    </row>
    <row r="20" spans="2:12" ht="19.899999999999999" customHeight="1" thickTop="1" thickBot="1">
      <c r="B20" s="412" t="s">
        <v>80</v>
      </c>
      <c r="C20" s="288">
        <v>0</v>
      </c>
      <c r="D20" s="276">
        <v>0</v>
      </c>
      <c r="E20" s="280">
        <v>1</v>
      </c>
      <c r="F20" s="289">
        <v>0</v>
      </c>
      <c r="G20" s="276">
        <v>0</v>
      </c>
      <c r="H20" s="290">
        <v>0</v>
      </c>
      <c r="I20" s="291">
        <v>0</v>
      </c>
      <c r="J20" s="287">
        <v>0</v>
      </c>
      <c r="K20" s="310" t="str">
        <f>INDEX($C$16:$J$16,MATCH(1,C20:J20,0))</f>
        <v>陳和其</v>
      </c>
      <c r="L20" s="313">
        <f t="shared" si="0"/>
        <v>1</v>
      </c>
    </row>
    <row r="21" spans="2:12" ht="19.899999999999999" customHeight="1" thickTop="1" thickBot="1">
      <c r="B21" s="412" t="s">
        <v>81</v>
      </c>
      <c r="C21" s="279">
        <v>1</v>
      </c>
      <c r="D21" s="283">
        <v>0</v>
      </c>
      <c r="E21" s="292">
        <v>0</v>
      </c>
      <c r="F21" s="293">
        <v>0</v>
      </c>
      <c r="G21" s="294">
        <v>0</v>
      </c>
      <c r="H21" s="292">
        <v>0</v>
      </c>
      <c r="I21" s="295">
        <v>0</v>
      </c>
      <c r="J21" s="287">
        <v>0</v>
      </c>
      <c r="K21" s="310" t="str">
        <f>INDEX($C$16:$J$16,MATCH(1,C21:J21,0))</f>
        <v>江世芬</v>
      </c>
      <c r="L21" s="313">
        <f t="shared" si="0"/>
        <v>1</v>
      </c>
    </row>
    <row r="22" spans="2:12" ht="19.899999999999999" customHeight="1" thickTop="1" thickBot="1">
      <c r="B22" s="412" t="s">
        <v>82</v>
      </c>
      <c r="C22" s="296">
        <v>0</v>
      </c>
      <c r="D22" s="283">
        <v>0</v>
      </c>
      <c r="E22" s="291">
        <v>0</v>
      </c>
      <c r="F22" s="271">
        <v>1</v>
      </c>
      <c r="G22" s="283">
        <v>0</v>
      </c>
      <c r="H22" s="297">
        <v>0</v>
      </c>
      <c r="I22" s="271">
        <v>0</v>
      </c>
      <c r="J22" s="281">
        <v>0</v>
      </c>
      <c r="K22" s="310" t="str">
        <f>INDEX($C$16:$J$16,MATCH(1,C22:J22,0))</f>
        <v>呂孔德</v>
      </c>
      <c r="L22" s="313">
        <f t="shared" si="0"/>
        <v>1</v>
      </c>
    </row>
    <row r="23" spans="2:12" ht="19.899999999999999" customHeight="1" thickTop="1" thickBot="1">
      <c r="B23" s="412" t="s">
        <v>83</v>
      </c>
      <c r="C23" s="298">
        <v>0</v>
      </c>
      <c r="D23" s="299">
        <v>0</v>
      </c>
      <c r="E23" s="278">
        <v>0</v>
      </c>
      <c r="F23" s="300">
        <v>0</v>
      </c>
      <c r="G23" s="283">
        <v>1</v>
      </c>
      <c r="H23" s="301">
        <v>0</v>
      </c>
      <c r="I23" s="275">
        <v>0</v>
      </c>
      <c r="J23" s="281">
        <v>0</v>
      </c>
      <c r="K23" s="310" t="str">
        <f>INDEX($C$16:$J$16,MATCH(1,C23:J23,0))</f>
        <v>王莉婷</v>
      </c>
      <c r="L23" s="313">
        <f t="shared" si="0"/>
        <v>1</v>
      </c>
    </row>
    <row r="24" spans="2:12" ht="19.899999999999999" customHeight="1" thickTop="1" thickBot="1">
      <c r="B24" s="413" t="s">
        <v>84</v>
      </c>
      <c r="C24" s="302">
        <v>0</v>
      </c>
      <c r="D24" s="303">
        <v>0</v>
      </c>
      <c r="E24" s="304">
        <v>0</v>
      </c>
      <c r="F24" s="305">
        <v>0</v>
      </c>
      <c r="G24" s="306">
        <v>0</v>
      </c>
      <c r="H24" s="307">
        <v>1</v>
      </c>
      <c r="I24" s="303">
        <v>0</v>
      </c>
      <c r="J24" s="308">
        <v>0</v>
      </c>
      <c r="K24" s="311" t="str">
        <f>INDEX($C$16:$J$16,MATCH(1,C24:J24,0))</f>
        <v>賴文賢</v>
      </c>
      <c r="L24" s="314">
        <f t="shared" si="0"/>
        <v>1</v>
      </c>
    </row>
    <row r="25" spans="2:12" ht="19.899999999999999" customHeight="1" thickBot="1">
      <c r="B25" s="320" t="s">
        <v>173</v>
      </c>
      <c r="C25" s="315">
        <f t="shared" ref="C25:J25" si="1">SUM(C17:C24)</f>
        <v>1</v>
      </c>
      <c r="D25" s="316">
        <f t="shared" si="1"/>
        <v>1</v>
      </c>
      <c r="E25" s="316">
        <f t="shared" si="1"/>
        <v>1</v>
      </c>
      <c r="F25" s="317">
        <f t="shared" si="1"/>
        <v>1</v>
      </c>
      <c r="G25" s="316">
        <f t="shared" si="1"/>
        <v>1</v>
      </c>
      <c r="H25" s="316">
        <f t="shared" si="1"/>
        <v>1</v>
      </c>
      <c r="I25" s="316">
        <f t="shared" si="1"/>
        <v>1</v>
      </c>
      <c r="J25" s="318">
        <f t="shared" si="1"/>
        <v>1</v>
      </c>
      <c r="K25" s="120"/>
      <c r="L25" s="121"/>
    </row>
    <row r="26" spans="2:12" ht="19.899999999999999" customHeight="1"/>
    <row r="27" spans="2:12" ht="15" customHeight="1"/>
  </sheetData>
  <mergeCells count="2">
    <mergeCell ref="B4:J4"/>
    <mergeCell ref="B15:K15"/>
  </mergeCells>
  <phoneticPr fontId="38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1</xdr:col>
                    <xdr:colOff>552450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BCB2C8E-88C4-4595-A4B3-8814FE3FB1C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C17:J24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B1:Q14"/>
  <sheetViews>
    <sheetView showZeros="0" workbookViewId="0">
      <selection activeCell="G13" sqref="G13"/>
    </sheetView>
  </sheetViews>
  <sheetFormatPr defaultRowHeight="19.899999999999999" customHeight="1"/>
  <cols>
    <col min="1" max="1" width="2.75" customWidth="1"/>
    <col min="2" max="5" width="9.75" customWidth="1"/>
    <col min="6" max="6" width="12.75" customWidth="1"/>
    <col min="7" max="7" width="15.625" customWidth="1"/>
    <col min="8" max="8" width="12.75" customWidth="1"/>
    <col min="9" max="9" width="2.75" customWidth="1"/>
    <col min="10" max="12" width="9.75" customWidth="1"/>
    <col min="13" max="15" width="9.5" bestFit="1" customWidth="1"/>
    <col min="16" max="17" width="9.75" customWidth="1"/>
    <col min="18" max="19" width="12.75" customWidth="1"/>
  </cols>
  <sheetData>
    <row r="1" spans="2:17" ht="24" customHeight="1"/>
    <row r="2" spans="2:17" ht="24.6" customHeight="1" thickBot="1">
      <c r="B2" s="468" t="s">
        <v>85</v>
      </c>
      <c r="C2" s="468"/>
      <c r="D2" s="468"/>
      <c r="E2" s="468"/>
      <c r="F2" s="468"/>
      <c r="G2" s="468"/>
      <c r="H2" s="85"/>
      <c r="I2" s="65"/>
      <c r="J2" s="65"/>
      <c r="K2" s="468" t="s">
        <v>86</v>
      </c>
      <c r="L2" s="468"/>
      <c r="M2" s="468"/>
      <c r="N2" s="468"/>
      <c r="O2" s="151"/>
      <c r="P2" s="151"/>
    </row>
    <row r="3" spans="2:17" ht="19.899999999999999" customHeight="1" thickBot="1">
      <c r="B3" s="469" t="s">
        <v>87</v>
      </c>
      <c r="C3" s="471" t="s">
        <v>88</v>
      </c>
      <c r="D3" s="473" t="s">
        <v>89</v>
      </c>
      <c r="E3" s="475" t="s">
        <v>90</v>
      </c>
      <c r="F3" s="477" t="s">
        <v>91</v>
      </c>
      <c r="G3" s="479" t="s">
        <v>92</v>
      </c>
      <c r="H3" s="481" t="s">
        <v>93</v>
      </c>
      <c r="I3" s="321"/>
      <c r="J3" s="346"/>
      <c r="K3" s="483" t="s">
        <v>94</v>
      </c>
      <c r="L3" s="484"/>
      <c r="M3" s="484"/>
      <c r="N3" s="485"/>
      <c r="O3" s="486" t="s">
        <v>95</v>
      </c>
      <c r="P3" s="479" t="s">
        <v>125</v>
      </c>
      <c r="Q3" s="463" t="s">
        <v>126</v>
      </c>
    </row>
    <row r="4" spans="2:17" ht="19.899999999999999" customHeight="1" thickBot="1">
      <c r="B4" s="470"/>
      <c r="C4" s="472"/>
      <c r="D4" s="474"/>
      <c r="E4" s="476"/>
      <c r="F4" s="478"/>
      <c r="G4" s="480"/>
      <c r="H4" s="482"/>
      <c r="I4" s="321"/>
      <c r="J4" s="347"/>
      <c r="K4" s="420" t="s">
        <v>208</v>
      </c>
      <c r="L4" s="421" t="s">
        <v>209</v>
      </c>
      <c r="M4" s="421" t="s">
        <v>210</v>
      </c>
      <c r="N4" s="422" t="s">
        <v>211</v>
      </c>
      <c r="O4" s="487"/>
      <c r="P4" s="480"/>
      <c r="Q4" s="464"/>
    </row>
    <row r="5" spans="2:17" ht="19.899999999999999" customHeight="1" thickTop="1" thickBot="1">
      <c r="B5" s="244" t="s">
        <v>96</v>
      </c>
      <c r="C5" s="245">
        <v>1.1200000000000001</v>
      </c>
      <c r="D5" s="246">
        <v>0.84</v>
      </c>
      <c r="E5" s="249">
        <v>0.76</v>
      </c>
      <c r="F5" s="427">
        <v>7200</v>
      </c>
      <c r="G5" s="331">
        <f t="shared" ref="G5:G8" si="0">F5+Q5-P5</f>
        <v>7450</v>
      </c>
      <c r="H5" s="328">
        <f t="shared" ref="H5:H8" si="1">SUMPRODUCT(C5:E5,$C$10:$E$10)</f>
        <v>7449.8</v>
      </c>
      <c r="I5" s="321"/>
      <c r="J5" s="423" t="s">
        <v>212</v>
      </c>
      <c r="K5" s="348" t="s">
        <v>182</v>
      </c>
      <c r="L5" s="253" t="s">
        <v>182</v>
      </c>
      <c r="M5" s="345">
        <v>0</v>
      </c>
      <c r="N5" s="343">
        <v>0</v>
      </c>
      <c r="O5" s="322">
        <v>400</v>
      </c>
      <c r="P5" s="334">
        <f t="shared" ref="P5:P8" si="2">SUM(K5:N5)</f>
        <v>0</v>
      </c>
      <c r="Q5" s="335">
        <f t="array" ref="Q5:Q8">TRANSPOSE(K9:N9)</f>
        <v>250</v>
      </c>
    </row>
    <row r="6" spans="2:17" ht="19.899999999999999" customHeight="1" thickTop="1" thickBot="1">
      <c r="B6" s="242" t="s">
        <v>97</v>
      </c>
      <c r="C6" s="247">
        <v>0.48</v>
      </c>
      <c r="D6" s="240">
        <v>0.68</v>
      </c>
      <c r="E6" s="250">
        <v>0.72</v>
      </c>
      <c r="F6" s="428">
        <v>4100</v>
      </c>
      <c r="G6" s="332">
        <f t="shared" si="0"/>
        <v>3850</v>
      </c>
      <c r="H6" s="329">
        <f t="shared" si="1"/>
        <v>3849.3999999999996</v>
      </c>
      <c r="I6" s="321"/>
      <c r="J6" s="424" t="s">
        <v>213</v>
      </c>
      <c r="K6" s="340">
        <v>250</v>
      </c>
      <c r="L6" s="254" t="s">
        <v>182</v>
      </c>
      <c r="M6" s="344">
        <v>0</v>
      </c>
      <c r="N6" s="255" t="s">
        <v>182</v>
      </c>
      <c r="O6" s="323">
        <v>250</v>
      </c>
      <c r="P6" s="336">
        <f t="shared" si="2"/>
        <v>250</v>
      </c>
      <c r="Q6" s="337">
        <v>0</v>
      </c>
    </row>
    <row r="7" spans="2:17" ht="19.899999999999999" customHeight="1" thickTop="1" thickBot="1">
      <c r="B7" s="242" t="s">
        <v>98</v>
      </c>
      <c r="C7" s="247">
        <v>0.88</v>
      </c>
      <c r="D7" s="240">
        <v>0.7</v>
      </c>
      <c r="E7" s="250">
        <v>1.04</v>
      </c>
      <c r="F7" s="428">
        <v>6100</v>
      </c>
      <c r="G7" s="332">
        <f t="shared" si="0"/>
        <v>6300</v>
      </c>
      <c r="H7" s="329">
        <f t="shared" si="1"/>
        <v>6299.94</v>
      </c>
      <c r="I7" s="321"/>
      <c r="J7" s="425" t="s">
        <v>214</v>
      </c>
      <c r="K7" s="349" t="s">
        <v>182</v>
      </c>
      <c r="L7" s="341">
        <v>0</v>
      </c>
      <c r="M7" s="256" t="s">
        <v>182</v>
      </c>
      <c r="N7" s="252" t="s">
        <v>182</v>
      </c>
      <c r="O7" s="323">
        <v>350</v>
      </c>
      <c r="P7" s="336">
        <f t="shared" si="2"/>
        <v>0</v>
      </c>
      <c r="Q7" s="337">
        <v>200</v>
      </c>
    </row>
    <row r="8" spans="2:17" ht="19.899999999999999" customHeight="1" thickTop="1" thickBot="1">
      <c r="B8" s="243" t="s">
        <v>99</v>
      </c>
      <c r="C8" s="248">
        <v>0.12</v>
      </c>
      <c r="D8" s="241">
        <v>0.44</v>
      </c>
      <c r="E8" s="251">
        <v>0.38</v>
      </c>
      <c r="F8" s="429">
        <v>1800</v>
      </c>
      <c r="G8" s="333">
        <f t="shared" si="0"/>
        <v>1600</v>
      </c>
      <c r="H8" s="330">
        <f t="shared" si="1"/>
        <v>1393.52</v>
      </c>
      <c r="I8" s="321"/>
      <c r="J8" s="426" t="s">
        <v>215</v>
      </c>
      <c r="K8" s="350" t="s">
        <v>182</v>
      </c>
      <c r="L8" s="342">
        <v>0</v>
      </c>
      <c r="M8" s="343">
        <v>200</v>
      </c>
      <c r="N8" s="257" t="s">
        <v>182</v>
      </c>
      <c r="O8" s="324">
        <v>200</v>
      </c>
      <c r="P8" s="338">
        <f t="shared" si="2"/>
        <v>200</v>
      </c>
      <c r="Q8" s="339">
        <v>0</v>
      </c>
    </row>
    <row r="9" spans="2:17" ht="19.899999999999999" customHeight="1" thickBot="1">
      <c r="B9" s="355" t="s">
        <v>100</v>
      </c>
      <c r="C9" s="122">
        <v>10</v>
      </c>
      <c r="D9" s="123">
        <v>8</v>
      </c>
      <c r="E9" s="124">
        <v>9</v>
      </c>
      <c r="F9" s="65"/>
      <c r="G9" s="65"/>
      <c r="H9" s="65"/>
      <c r="I9" s="65"/>
      <c r="J9" s="354" t="s">
        <v>101</v>
      </c>
      <c r="K9" s="351">
        <f t="shared" ref="K9:N9" si="3">SUM(K5:K8)</f>
        <v>250</v>
      </c>
      <c r="L9" s="352">
        <f t="shared" si="3"/>
        <v>0</v>
      </c>
      <c r="M9" s="352">
        <f t="shared" si="3"/>
        <v>200</v>
      </c>
      <c r="N9" s="353">
        <f t="shared" si="3"/>
        <v>0</v>
      </c>
      <c r="O9" s="65"/>
      <c r="P9" s="65"/>
    </row>
    <row r="10" spans="2:17" ht="19.899999999999999" customHeight="1" thickTop="1" thickBot="1">
      <c r="B10" s="418" t="s">
        <v>207</v>
      </c>
      <c r="C10" s="325">
        <v>5340</v>
      </c>
      <c r="D10" s="326">
        <v>911</v>
      </c>
      <c r="E10" s="327">
        <v>926</v>
      </c>
      <c r="G10" s="65"/>
      <c r="H10" s="65"/>
      <c r="I10" s="65"/>
      <c r="J10" s="65"/>
      <c r="K10" s="65"/>
      <c r="L10" s="65"/>
      <c r="M10" s="65"/>
      <c r="N10" s="65"/>
      <c r="O10" s="65"/>
      <c r="P10" s="65"/>
    </row>
    <row r="11" spans="2:17" ht="19.899999999999999" customHeight="1" thickTop="1" thickBot="1">
      <c r="B11" s="419" t="s">
        <v>124</v>
      </c>
      <c r="C11" s="465">
        <f>SUMPRODUCT(C9:E9,C10:E10)</f>
        <v>69022</v>
      </c>
      <c r="D11" s="466"/>
      <c r="E11" s="467"/>
      <c r="G11" s="65"/>
      <c r="H11" s="65"/>
      <c r="I11" s="65"/>
      <c r="J11" s="65"/>
      <c r="K11" s="65"/>
      <c r="L11" s="65"/>
      <c r="M11" s="65"/>
      <c r="N11" s="65"/>
      <c r="O11" s="65"/>
      <c r="P11" s="65"/>
    </row>
    <row r="12" spans="2:17" ht="19.899999999999999" customHeight="1" thickTop="1">
      <c r="B12" s="258"/>
      <c r="C12" s="356"/>
      <c r="D12" s="356"/>
      <c r="E12" s="356"/>
    </row>
    <row r="14" spans="2:17" ht="15" customHeight="1"/>
  </sheetData>
  <mergeCells count="14">
    <mergeCell ref="Q3:Q4"/>
    <mergeCell ref="C11:E11"/>
    <mergeCell ref="K2:N2"/>
    <mergeCell ref="B2:G2"/>
    <mergeCell ref="B3:B4"/>
    <mergeCell ref="C3:C4"/>
    <mergeCell ref="D3:D4"/>
    <mergeCell ref="E3:E4"/>
    <mergeCell ref="F3:F4"/>
    <mergeCell ref="G3:G4"/>
    <mergeCell ref="H3:H4"/>
    <mergeCell ref="K3:N3"/>
    <mergeCell ref="O3:O4"/>
    <mergeCell ref="P3:P4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1</xdr:col>
                    <xdr:colOff>552450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B1:N21"/>
  <sheetViews>
    <sheetView zoomScaleNormal="100" workbookViewId="0">
      <selection activeCell="G20" sqref="G20"/>
    </sheetView>
  </sheetViews>
  <sheetFormatPr defaultColWidth="8.125" defaultRowHeight="19.899999999999999" customHeight="1"/>
  <cols>
    <col min="1" max="1" width="2.75" style="65" customWidth="1"/>
    <col min="2" max="2" width="10.75" style="65" customWidth="1"/>
    <col min="3" max="3" width="20.5" style="65" bestFit="1" customWidth="1"/>
    <col min="4" max="4" width="2.75" style="65" customWidth="1"/>
    <col min="5" max="5" width="5.75" style="65" customWidth="1"/>
    <col min="6" max="6" width="11.625" style="65" bestFit="1" customWidth="1"/>
    <col min="7" max="7" width="13.875" style="65" bestFit="1" customWidth="1"/>
    <col min="8" max="14" width="7.625" style="65" customWidth="1"/>
    <col min="15" max="16384" width="8.125" style="65"/>
  </cols>
  <sheetData>
    <row r="1" spans="2:14" ht="24" customHeight="1" thickBot="1"/>
    <row r="2" spans="2:14" ht="19.899999999999999" customHeight="1" thickBot="1">
      <c r="B2" s="69" t="s">
        <v>102</v>
      </c>
      <c r="C2" s="86" t="s">
        <v>103</v>
      </c>
      <c r="E2" s="125" t="s">
        <v>105</v>
      </c>
      <c r="F2" s="126" t="s">
        <v>106</v>
      </c>
      <c r="G2" s="377" t="s">
        <v>107</v>
      </c>
      <c r="H2" s="374" t="s">
        <v>183</v>
      </c>
      <c r="I2" s="375" t="s">
        <v>184</v>
      </c>
      <c r="J2" s="375" t="s">
        <v>185</v>
      </c>
      <c r="K2" s="375" t="s">
        <v>186</v>
      </c>
      <c r="L2" s="375" t="s">
        <v>187</v>
      </c>
      <c r="M2" s="375" t="s">
        <v>188</v>
      </c>
      <c r="N2" s="376" t="s">
        <v>189</v>
      </c>
    </row>
    <row r="3" spans="2:14" ht="19.899999999999999" customHeight="1" thickTop="1">
      <c r="B3" s="70" t="s">
        <v>24</v>
      </c>
      <c r="C3" s="81">
        <v>22</v>
      </c>
      <c r="E3" s="127" t="s">
        <v>108</v>
      </c>
      <c r="F3" s="128" t="s">
        <v>109</v>
      </c>
      <c r="G3" s="358">
        <v>2</v>
      </c>
      <c r="H3" s="361">
        <f t="shared" ref="H3:N9" si="0">IF(ISERROR(SEARCH(RIGHT(H$2),$F3)),$G3,0)</f>
        <v>0</v>
      </c>
      <c r="I3" s="362">
        <f t="shared" si="0"/>
        <v>0</v>
      </c>
      <c r="J3" s="362">
        <f t="shared" si="0"/>
        <v>2</v>
      </c>
      <c r="K3" s="362">
        <f t="shared" si="0"/>
        <v>2</v>
      </c>
      <c r="L3" s="362">
        <f t="shared" si="0"/>
        <v>2</v>
      </c>
      <c r="M3" s="362">
        <f t="shared" si="0"/>
        <v>2</v>
      </c>
      <c r="N3" s="363">
        <f t="shared" si="0"/>
        <v>2</v>
      </c>
    </row>
    <row r="4" spans="2:14" ht="19.899999999999999" customHeight="1">
      <c r="B4" s="67" t="s">
        <v>25</v>
      </c>
      <c r="C4" s="82">
        <v>17</v>
      </c>
      <c r="E4" s="129" t="s">
        <v>110</v>
      </c>
      <c r="F4" s="130" t="s">
        <v>111</v>
      </c>
      <c r="G4" s="359">
        <v>6</v>
      </c>
      <c r="H4" s="364">
        <f t="shared" si="0"/>
        <v>6</v>
      </c>
      <c r="I4" s="365">
        <f t="shared" si="0"/>
        <v>0</v>
      </c>
      <c r="J4" s="365">
        <f t="shared" si="0"/>
        <v>0</v>
      </c>
      <c r="K4" s="365">
        <f t="shared" si="0"/>
        <v>6</v>
      </c>
      <c r="L4" s="365">
        <f t="shared" si="0"/>
        <v>6</v>
      </c>
      <c r="M4" s="365">
        <f t="shared" si="0"/>
        <v>6</v>
      </c>
      <c r="N4" s="366">
        <f t="shared" si="0"/>
        <v>6</v>
      </c>
    </row>
    <row r="5" spans="2:14" ht="19.899999999999999" customHeight="1">
      <c r="B5" s="67" t="s">
        <v>26</v>
      </c>
      <c r="C5" s="82">
        <v>13</v>
      </c>
      <c r="E5" s="129" t="s">
        <v>112</v>
      </c>
      <c r="F5" s="130" t="s">
        <v>113</v>
      </c>
      <c r="G5" s="359">
        <v>6</v>
      </c>
      <c r="H5" s="364">
        <f t="shared" si="0"/>
        <v>6</v>
      </c>
      <c r="I5" s="365">
        <f t="shared" si="0"/>
        <v>6</v>
      </c>
      <c r="J5" s="365">
        <f t="shared" si="0"/>
        <v>0</v>
      </c>
      <c r="K5" s="365">
        <f t="shared" si="0"/>
        <v>0</v>
      </c>
      <c r="L5" s="365">
        <f t="shared" si="0"/>
        <v>6</v>
      </c>
      <c r="M5" s="365">
        <f t="shared" si="0"/>
        <v>6</v>
      </c>
      <c r="N5" s="366">
        <f t="shared" si="0"/>
        <v>6</v>
      </c>
    </row>
    <row r="6" spans="2:14" ht="19.899999999999999" customHeight="1">
      <c r="B6" s="67" t="s">
        <v>27</v>
      </c>
      <c r="C6" s="82">
        <v>14</v>
      </c>
      <c r="E6" s="129" t="s">
        <v>114</v>
      </c>
      <c r="F6" s="130" t="s">
        <v>115</v>
      </c>
      <c r="G6" s="359">
        <v>5</v>
      </c>
      <c r="H6" s="364">
        <f t="shared" si="0"/>
        <v>5</v>
      </c>
      <c r="I6" s="365">
        <f t="shared" si="0"/>
        <v>5</v>
      </c>
      <c r="J6" s="365">
        <f t="shared" si="0"/>
        <v>5</v>
      </c>
      <c r="K6" s="365">
        <f t="shared" si="0"/>
        <v>0</v>
      </c>
      <c r="L6" s="365">
        <f t="shared" si="0"/>
        <v>0</v>
      </c>
      <c r="M6" s="365">
        <f t="shared" si="0"/>
        <v>5</v>
      </c>
      <c r="N6" s="366">
        <f t="shared" si="0"/>
        <v>5</v>
      </c>
    </row>
    <row r="7" spans="2:14" ht="19.899999999999999" customHeight="1">
      <c r="B7" s="67" t="s">
        <v>28</v>
      </c>
      <c r="C7" s="82">
        <v>15</v>
      </c>
      <c r="E7" s="129" t="s">
        <v>116</v>
      </c>
      <c r="F7" s="130" t="s">
        <v>117</v>
      </c>
      <c r="G7" s="359">
        <v>5</v>
      </c>
      <c r="H7" s="364">
        <f t="shared" si="0"/>
        <v>5</v>
      </c>
      <c r="I7" s="365">
        <f t="shared" si="0"/>
        <v>5</v>
      </c>
      <c r="J7" s="365">
        <f t="shared" si="0"/>
        <v>5</v>
      </c>
      <c r="K7" s="365">
        <f t="shared" si="0"/>
        <v>5</v>
      </c>
      <c r="L7" s="365">
        <f t="shared" si="0"/>
        <v>0</v>
      </c>
      <c r="M7" s="365">
        <f t="shared" si="0"/>
        <v>0</v>
      </c>
      <c r="N7" s="366">
        <f t="shared" si="0"/>
        <v>5</v>
      </c>
    </row>
    <row r="8" spans="2:14" ht="19.899999999999999" customHeight="1">
      <c r="B8" s="67" t="s">
        <v>29</v>
      </c>
      <c r="C8" s="82">
        <v>18</v>
      </c>
      <c r="E8" s="129" t="s">
        <v>118</v>
      </c>
      <c r="F8" s="130" t="s">
        <v>119</v>
      </c>
      <c r="G8" s="359">
        <v>2</v>
      </c>
      <c r="H8" s="364">
        <f t="shared" si="0"/>
        <v>2</v>
      </c>
      <c r="I8" s="365">
        <f t="shared" si="0"/>
        <v>2</v>
      </c>
      <c r="J8" s="365">
        <f t="shared" si="0"/>
        <v>2</v>
      </c>
      <c r="K8" s="365">
        <f t="shared" si="0"/>
        <v>2</v>
      </c>
      <c r="L8" s="365">
        <f t="shared" si="0"/>
        <v>2</v>
      </c>
      <c r="M8" s="365">
        <f t="shared" si="0"/>
        <v>0</v>
      </c>
      <c r="N8" s="366">
        <f t="shared" si="0"/>
        <v>0</v>
      </c>
    </row>
    <row r="9" spans="2:14" ht="19.899999999999999" customHeight="1" thickBot="1">
      <c r="B9" s="68" t="s">
        <v>30</v>
      </c>
      <c r="C9" s="83">
        <v>24</v>
      </c>
      <c r="E9" s="131" t="s">
        <v>120</v>
      </c>
      <c r="F9" s="132" t="s">
        <v>121</v>
      </c>
      <c r="G9" s="360">
        <v>2</v>
      </c>
      <c r="H9" s="367">
        <f t="shared" si="0"/>
        <v>0</v>
      </c>
      <c r="I9" s="368">
        <f t="shared" si="0"/>
        <v>2</v>
      </c>
      <c r="J9" s="368">
        <f t="shared" si="0"/>
        <v>2</v>
      </c>
      <c r="K9" s="368">
        <f t="shared" si="0"/>
        <v>2</v>
      </c>
      <c r="L9" s="368">
        <f t="shared" si="0"/>
        <v>2</v>
      </c>
      <c r="M9" s="368">
        <f t="shared" si="0"/>
        <v>2</v>
      </c>
      <c r="N9" s="369">
        <f t="shared" si="0"/>
        <v>0</v>
      </c>
    </row>
    <row r="10" spans="2:14" ht="39" customHeight="1" thickTop="1" thickBot="1">
      <c r="B10" s="430" t="s">
        <v>104</v>
      </c>
      <c r="C10" s="357">
        <f>8000*SUM(G3:G9)</f>
        <v>224000</v>
      </c>
      <c r="E10" s="133"/>
      <c r="F10" s="133"/>
      <c r="G10" s="373" t="s">
        <v>122</v>
      </c>
      <c r="H10" s="370">
        <f t="shared" ref="H10:N10" si="1">SUM(H3:H9)</f>
        <v>24</v>
      </c>
      <c r="I10" s="371">
        <f t="shared" si="1"/>
        <v>20</v>
      </c>
      <c r="J10" s="371">
        <f t="shared" si="1"/>
        <v>16</v>
      </c>
      <c r="K10" s="371">
        <f t="shared" si="1"/>
        <v>17</v>
      </c>
      <c r="L10" s="371">
        <f t="shared" si="1"/>
        <v>18</v>
      </c>
      <c r="M10" s="371">
        <f t="shared" si="1"/>
        <v>21</v>
      </c>
      <c r="N10" s="372">
        <f t="shared" si="1"/>
        <v>24</v>
      </c>
    </row>
    <row r="11" spans="2:14" ht="15" customHeight="1"/>
    <row r="21" spans="8:8" ht="19.899999999999999" customHeight="1">
      <c r="H21" s="84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1</xdr:col>
                    <xdr:colOff>552450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I15"/>
  <sheetViews>
    <sheetView tabSelected="1" workbookViewId="0">
      <selection activeCell="K2" sqref="K1:L2"/>
    </sheetView>
  </sheetViews>
  <sheetFormatPr defaultColWidth="8.75" defaultRowHeight="15.75"/>
  <cols>
    <col min="1" max="1" width="2.75" style="159" customWidth="1"/>
    <col min="2" max="2" width="9.75" style="159" customWidth="1"/>
    <col min="3" max="3" width="12.75" style="159" customWidth="1"/>
    <col min="4" max="4" width="2.75" style="159" customWidth="1"/>
    <col min="5" max="9" width="8.75" style="159" customWidth="1"/>
    <col min="10" max="16384" width="8.75" style="159"/>
  </cols>
  <sheetData>
    <row r="1" spans="2:9" ht="24" customHeight="1" thickBot="1"/>
    <row r="2" spans="2:9" ht="19.899999999999999" customHeight="1" thickBot="1">
      <c r="B2" s="166" t="s">
        <v>127</v>
      </c>
      <c r="C2" s="167" t="s">
        <v>140</v>
      </c>
      <c r="E2" s="168" t="s">
        <v>141</v>
      </c>
      <c r="F2" s="488" t="s">
        <v>127</v>
      </c>
      <c r="G2" s="489"/>
      <c r="H2" s="490"/>
    </row>
    <row r="3" spans="2:9" ht="19.899999999999999" customHeight="1" thickTop="1">
      <c r="B3" s="164" t="s">
        <v>128</v>
      </c>
      <c r="C3" s="165">
        <v>280</v>
      </c>
      <c r="E3" s="395" t="s">
        <v>142</v>
      </c>
      <c r="F3" s="431">
        <v>5</v>
      </c>
      <c r="G3" s="432">
        <v>12</v>
      </c>
      <c r="H3" s="433">
        <v>6</v>
      </c>
    </row>
    <row r="4" spans="2:9" ht="19.899999999999999" customHeight="1">
      <c r="B4" s="160" t="s">
        <v>129</v>
      </c>
      <c r="C4" s="161">
        <v>190</v>
      </c>
      <c r="E4" s="396" t="s">
        <v>143</v>
      </c>
      <c r="F4" s="434">
        <v>4</v>
      </c>
      <c r="G4" s="435">
        <v>3</v>
      </c>
      <c r="H4" s="436">
        <v>2</v>
      </c>
    </row>
    <row r="5" spans="2:9" ht="19.899999999999999" customHeight="1">
      <c r="B5" s="160" t="s">
        <v>130</v>
      </c>
      <c r="C5" s="161">
        <v>281</v>
      </c>
      <c r="E5" s="396" t="s">
        <v>144</v>
      </c>
      <c r="F5" s="434">
        <v>1</v>
      </c>
      <c r="G5" s="435">
        <v>7</v>
      </c>
      <c r="H5" s="436">
        <v>10</v>
      </c>
    </row>
    <row r="6" spans="2:9" ht="19.899999999999999" customHeight="1" thickBot="1">
      <c r="B6" s="160" t="s">
        <v>131</v>
      </c>
      <c r="C6" s="161">
        <v>297</v>
      </c>
      <c r="E6" s="397" t="s">
        <v>145</v>
      </c>
      <c r="F6" s="437">
        <v>8</v>
      </c>
      <c r="G6" s="438">
        <v>11</v>
      </c>
      <c r="H6" s="439">
        <v>9</v>
      </c>
    </row>
    <row r="7" spans="2:9" ht="19.899999999999999" customHeight="1" thickBot="1">
      <c r="B7" s="160" t="s">
        <v>132</v>
      </c>
      <c r="C7" s="161">
        <v>323</v>
      </c>
    </row>
    <row r="8" spans="2:9" ht="19.899999999999999" customHeight="1" thickBot="1">
      <c r="B8" s="160" t="s">
        <v>133</v>
      </c>
      <c r="C8" s="161">
        <v>211</v>
      </c>
      <c r="E8" s="168" t="s">
        <v>141</v>
      </c>
      <c r="F8" s="491" t="s">
        <v>146</v>
      </c>
      <c r="G8" s="492"/>
      <c r="H8" s="493"/>
    </row>
    <row r="9" spans="2:9" ht="19.899999999999999" customHeight="1">
      <c r="B9" s="160" t="s">
        <v>134</v>
      </c>
      <c r="C9" s="161">
        <v>205</v>
      </c>
      <c r="E9" s="392" t="s">
        <v>142</v>
      </c>
      <c r="F9" s="379">
        <f t="shared" ref="F9:H12" si="0">IFERROR(VLOOKUP(CHAR(64+F3),$B$3:$C$14,2,0),"")</f>
        <v>323</v>
      </c>
      <c r="G9" s="380">
        <f t="shared" si="0"/>
        <v>232</v>
      </c>
      <c r="H9" s="381">
        <f t="shared" si="0"/>
        <v>211</v>
      </c>
      <c r="I9" s="382">
        <f t="shared" ref="I9:I12" si="1">SUM(F9:H9)</f>
        <v>766</v>
      </c>
    </row>
    <row r="10" spans="2:9" ht="19.899999999999999" customHeight="1">
      <c r="B10" s="160" t="s">
        <v>135</v>
      </c>
      <c r="C10" s="161">
        <v>318</v>
      </c>
      <c r="E10" s="393" t="s">
        <v>143</v>
      </c>
      <c r="F10" s="383">
        <f t="shared" si="0"/>
        <v>297</v>
      </c>
      <c r="G10" s="384">
        <f t="shared" si="0"/>
        <v>281</v>
      </c>
      <c r="H10" s="385">
        <f t="shared" si="0"/>
        <v>190</v>
      </c>
      <c r="I10" s="386">
        <f t="shared" si="1"/>
        <v>768</v>
      </c>
    </row>
    <row r="11" spans="2:9" ht="19.899999999999999" customHeight="1">
      <c r="B11" s="160" t="s">
        <v>136</v>
      </c>
      <c r="C11" s="161">
        <v>259</v>
      </c>
      <c r="E11" s="393" t="s">
        <v>144</v>
      </c>
      <c r="F11" s="383">
        <f t="shared" si="0"/>
        <v>280</v>
      </c>
      <c r="G11" s="384">
        <f t="shared" si="0"/>
        <v>205</v>
      </c>
      <c r="H11" s="385">
        <f t="shared" si="0"/>
        <v>283</v>
      </c>
      <c r="I11" s="386">
        <f t="shared" si="1"/>
        <v>768</v>
      </c>
    </row>
    <row r="12" spans="2:9" ht="19.899999999999999" customHeight="1" thickBot="1">
      <c r="B12" s="160" t="s">
        <v>137</v>
      </c>
      <c r="C12" s="161">
        <v>283</v>
      </c>
      <c r="E12" s="394" t="s">
        <v>145</v>
      </c>
      <c r="F12" s="387">
        <f t="shared" si="0"/>
        <v>318</v>
      </c>
      <c r="G12" s="388">
        <f t="shared" si="0"/>
        <v>190</v>
      </c>
      <c r="H12" s="389">
        <f t="shared" si="0"/>
        <v>259</v>
      </c>
      <c r="I12" s="390">
        <f t="shared" si="1"/>
        <v>767</v>
      </c>
    </row>
    <row r="13" spans="2:9" ht="19.899999999999999" customHeight="1" thickTop="1" thickBot="1">
      <c r="B13" s="160" t="s">
        <v>138</v>
      </c>
      <c r="C13" s="161">
        <v>190</v>
      </c>
      <c r="H13" s="391" t="s">
        <v>190</v>
      </c>
      <c r="I13" s="378">
        <f>_xlfn.STDEV.P(I9:I12)</f>
        <v>0.82915619758884995</v>
      </c>
    </row>
    <row r="14" spans="2:9" ht="19.899999999999999" customHeight="1" thickBot="1">
      <c r="B14" s="162" t="s">
        <v>139</v>
      </c>
      <c r="C14" s="163">
        <v>232</v>
      </c>
    </row>
    <row r="15" spans="2:9" ht="19.899999999999999" customHeight="1" thickBot="1">
      <c r="B15" s="166" t="s">
        <v>147</v>
      </c>
      <c r="C15" s="169">
        <f>COUNTA(C3:C14)</f>
        <v>12</v>
      </c>
    </row>
  </sheetData>
  <mergeCells count="2">
    <mergeCell ref="F2:H2"/>
    <mergeCell ref="F8:H8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1</xdr:col>
                    <xdr:colOff>552450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數學方程式</vt:lpstr>
      <vt:lpstr>鷄免同籠</vt:lpstr>
      <vt:lpstr>無解</vt:lpstr>
      <vt:lpstr>九宮格</vt:lpstr>
      <vt:lpstr>工廠裝配</vt:lpstr>
      <vt:lpstr>多重期間生產</vt:lpstr>
      <vt:lpstr>投資決策</vt:lpstr>
      <vt:lpstr>任務指派</vt:lpstr>
      <vt:lpstr>人力調度</vt:lpstr>
      <vt:lpstr>值班人力</vt:lpstr>
      <vt:lpstr>公平分組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2012-01-05T08:30:00Z</dcterms:created>
  <dcterms:modified xsi:type="dcterms:W3CDTF">2014-08-12T08:12:07Z</dcterms:modified>
</cp:coreProperties>
</file>